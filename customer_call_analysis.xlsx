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c31fb5f897279af0/Desktop/"/>
    </mc:Choice>
  </mc:AlternateContent>
  <xr:revisionPtr revIDLastSave="12" documentId="13_ncr:1_{2BCD9B90-AB7E-45C8-B479-148713B03996}" xr6:coauthVersionLast="47" xr6:coauthVersionMax="47" xr10:uidLastSave="{834F5C49-7448-4CFF-AECC-373AF093B1AD}"/>
  <bookViews>
    <workbookView xWindow="-108" yWindow="-108" windowWidth="23256" windowHeight="12456" firstSheet="4" activeTab="4" xr2:uid="{26D4546B-D2A1-4444-8EAF-A6228F96F0C1}"/>
  </bookViews>
  <sheets>
    <sheet name="Sheet4" sheetId="7" state="hidden" r:id="rId1"/>
    <sheet name="Sheet5" sheetId="8" state="hidden" r:id="rId2"/>
    <sheet name="Sheet7" sheetId="11" state="hidden" r:id="rId3"/>
    <sheet name="pivot tabel" sheetId="10" state="hidden" r:id="rId4"/>
    <sheet name="Reports" sheetId="12" r:id="rId5"/>
    <sheet name="Data" sheetId="2" r:id="rId6"/>
  </sheets>
  <definedNames>
    <definedName name="_xlnm._FilterDatabase" localSheetId="5" hidden="1">Data!$B$3:$H$1003</definedName>
    <definedName name="_xlcn.WorksheetConnection_05.sampledatapivotsblank.xlsxcalls" hidden="1">calls[]</definedName>
    <definedName name="_xlcn.WorksheetConnection_05.sampledatapivotsblank.xlsxcustomers" hidden="1">customers[]</definedName>
    <definedName name="ExternalData_1" localSheetId="2" hidden="1">Sheet7!$A$3:$H$1003</definedName>
    <definedName name="Slicer_Representative1">#N/A</definedName>
    <definedName name="Slicer_Representative2">#N/A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s>
  <extLst>
    <ext xmlns:x14="http://schemas.microsoft.com/office/spreadsheetml/2009/9/main" uri="{876F7934-8845-4945-9796-88D515C7AA90}">
      <x14:pivotCaches>
        <pivotCache cacheId="10" r:id="rId17"/>
      </x14:pivotCaches>
    </ext>
    <ext xmlns:x14="http://schemas.microsoft.com/office/spreadsheetml/2009/9/main" uri="{BBE1A952-AA13-448e-AADC-164F8A28A991}">
      <x14:slicerCaches>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05.sample-data-pivots-blank.xlsx!customers"/>
          <x15:modelTable id="calls" name="calls" connection="WorksheetConnection_05.sample-data-pivots-blank.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19" i="12" l="1" a="1"/>
  <c r="S18" i="12" a="1"/>
  <c r="J36" i="10"/>
  <c r="F38" i="10" a="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40" i="10" l="1"/>
  <c r="J39" i="10"/>
  <c r="J40" i="10"/>
  <c r="J41" i="10"/>
  <c r="J42" i="10"/>
  <c r="J38" i="10"/>
  <c r="I39" i="10"/>
  <c r="I41" i="10"/>
  <c r="I42" i="10"/>
  <c r="I38"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E38A46F-F5EF-498E-82F4-FB2255E1A583}" keepAlive="1" name="ModelConnection_ExternalData_1" description="Data Model" type="5" refreshedVersion="8" minRefreshableVersion="5" saveData="1">
    <dbPr connection="Data Model Connection" command="DRILLTHROUGH MAXROWS 1000 SELECT FROM [Model] WHERE ([Measures].[Total Duration]) RETURN [$calls].[Call number],[$calls].[Customer ID],[$calls].[Duration],[$calls].[Representative],[$calls].[Date of Call],[$calls].[Purchase Amount],[$calls].[Satisfaction Rating],[$calls].[Rounded rating]" commandType="4"/>
    <extLst>
      <ext xmlns:x15="http://schemas.microsoft.com/office/spreadsheetml/2010/11/main" uri="{DE250136-89BD-433C-8126-D09CA5730AF9}">
        <x15:connection id="" model="1"/>
      </ext>
    </extLst>
  </connection>
  <connection id="2" xr16:uid="{39FC2157-6FC5-4C11-8021-3CE8802ADF3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DE0B02FB-F978-44C0-A923-F4220AF2F230}" name="WorksheetConnection_05.sample-data-pivots-blank.xlsx!calls" type="102" refreshedVersion="8" minRefreshableVersion="5">
    <extLst>
      <ext xmlns:x15="http://schemas.microsoft.com/office/spreadsheetml/2010/11/main" uri="{DE250136-89BD-433C-8126-D09CA5730AF9}">
        <x15:connection id="calls" autoDelete="1">
          <x15:rangePr sourceName="_xlcn.WorksheetConnection_05.sampledatapivotsblank.xlsxcalls"/>
        </x15:connection>
      </ext>
    </extLst>
  </connection>
  <connection id="4" xr16:uid="{D119E259-03BD-4F92-A436-FB0BA7B782F1}" name="WorksheetConnection_05.sample-data-pivots-blank.xlsx!customers" type="102" refreshedVersion="8" minRefreshableVersion="5">
    <extLst>
      <ext xmlns:x15="http://schemas.microsoft.com/office/spreadsheetml/2010/11/main" uri="{DE250136-89BD-433C-8126-D09CA5730AF9}">
        <x15:connection id="customers">
          <x15:rangePr sourceName="_xlcn.WorksheetConnection_05.sampledatapivotsblank.xlsxcustomer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<sst xmlns="http://schemas.openxmlformats.org/spreadsheetml/2006/main" count="6198" uniqueCount="1088">
  <si>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</si>
  <si>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</si>
  <si>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</si>
  <si>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</si>
  <si>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</si>
  <si>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</si>
  <si>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</si>
  <si>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</si>
  <si>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</si>
  <si>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</si>
  <si>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</si>
  <si>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</si>
  <si>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</si>
  <si>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</si>
  <si>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</si>
  <si>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</si>
  <si>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</si>
  <si>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</si>
  <si>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</si>
  <si>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</si>
  <si>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</si>
  <si>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</si>
  <si>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</si>
  <si>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</si>
  <si>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</si>
  <si>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</si>
  <si>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</si>
  <si>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</si>
  <si>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</si>
  <si>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</si>
  <si>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</si>
  <si>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</si>
  <si>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</si>
  <si>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</si>
  <si>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</si>
  <si>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</si>
  <si>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</si>
  <si>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</si>
  <si>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</si>
  <si>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</si>
  <si>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</si>
  <si>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</si>
  <si>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</si>
  <si>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</si>
  <si>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</si>
  <si>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</si>
  <si>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</si>
  <si>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</si>
  <si>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</si>
  <si>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</si>
  <si>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</si>
  <si>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</si>
  <si>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</si>
  <si>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</si>
  <si>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</si>
  <si>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</si>
  <si>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</si>
  <si>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</si>
  <si>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</si>
  <si>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</si>
  <si>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</si>
  <si>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</si>
  <si>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</si>
  <si>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</si>
  <si>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</si>
  <si>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</si>
  <si>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</si>
  <si>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</si>
  <si>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</si>
  <si>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</si>
  <si>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</si>
  <si>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</si>
  <si>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</si>
  <si>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</si>
  <si>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</si>
  <si>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</si>
  <si>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</si>
  <si>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</si>
  <si>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</si>
  <si>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</si>
  <si>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</si>
  <si>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</si>
  <si>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</si>
  <si>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</si>
  <si>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</si>
  <si>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</si>
  <si>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</si>
  <si>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</si>
  <si>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</si>
  <si>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</si>
  <si>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</si>
  <si>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</si>
  <si>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</si>
  <si>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</si>
  <si>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</si>
  <si>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</si>
  <si>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</si>
  <si>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</si>
  <si>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</si>
  <si>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</si>
  <si>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</si>
  <si>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</si>
  <si>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</si>
  <si>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</si>
  <si>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</si>
  <si>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</si>
  <si>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</si>
  <si>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</si>
  <si>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</si>
  <si>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</si>
  <si>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</si>
  <si>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</si>
  <si>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</si>
  <si>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</si>
  <si>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</si>
  <si>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</si>
  <si>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</si>
  <si>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</si>
  <si>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</si>
  <si>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</si>
  <si>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</si>
  <si>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</si>
  <si>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</si>
  <si>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</si>
  <si>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</si>
  <si>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</si>
  <si>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</si>
  <si>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</si>
  <si>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</si>
  <si>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</si>
  <si>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</si>
  <si>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</si>
  <si>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</si>
  <si>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</si>
  <si>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</si>
  <si>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</si>
  <si>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</si>
  <si>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</si>
  <si>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</si>
  <si>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</si>
  <si>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</si>
  <si>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</si>
  <si>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</si>
  <si>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</si>
  <si>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</si>
  <si>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</si>
  <si>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</si>
  <si>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</si>
  <si>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</si>
  <si>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</si>
  <si>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</si>
  <si>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</si>
  <si>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</si>
  <si>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</si>
  <si>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</si>
  <si>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</si>
  <si>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</si>
  <si>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</si>
  <si>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</si>
  <si>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</si>
  <si>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</si>
  <si>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</si>
  <si>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</si>
  <si>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</si>
  <si>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</si>
  <si>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</si>
  <si>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</si>
  <si>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</si>
  <si>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</si>
  <si>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</si>
  <si>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</si>
  <si>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</si>
  <si>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</si>
  <si>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</si>
  <si>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</si>
  <si>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</si>
  <si>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</si>
  <si>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</si>
  <si>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</si>
  <si>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</si>
  <si>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</si>
  <si>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</si>
  <si>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</si>
  <si>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</si>
  <si>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</si>
  <si>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</si>
  <si>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</si>
  <si>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</si>
  <si>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</si>
  <si>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</si>
  <si>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</si>
  <si>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</si>
  <si>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</si>
  <si>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</si>
  <si>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</si>
  <si>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</si>
  <si>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</si>
  <si>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</si>
  <si>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</si>
  <si>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</si>
  <si>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</si>
  <si>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</si>
  <si>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</si>
  <si>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</si>
  <si>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</si>
  <si>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</si>
  <si>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</si>
  <si>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</si>
  <si>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</si>
  <si>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</si>
  <si>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</si>
  <si>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</si>
  <si>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</si>
  <si>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</si>
  <si>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</si>
  <si>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</si>
  <si>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</si>
  <si>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</si>
  <si>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</si>
  <si>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</si>
  <si>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</si>
  <si>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</si>
  <si>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</si>
  <si>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</si>
  <si>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</si>
  <si>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</si>
  <si>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</si>
  <si>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</si>
  <si>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</si>
  <si>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</si>
  <si>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</si>
  <si>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</si>
  <si>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</si>
  <si>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</si>
  <si>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</si>
  <si>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</si>
  <si>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</si>
  <si>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</si>
  <si>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</si>
  <si>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</si>
  <si>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</si>
  <si>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</si>
  <si>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</si>
  <si>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</si>
  <si>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</si>
  <si>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</si>
  <si>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</si>
  <si>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</si>
  <si>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</si>
  <si>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</si>
  <si>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</si>
  <si>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</si>
  <si>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</si>
  <si>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</si>
  <si>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</si>
  <si>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</si>
  <si>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</si>
  <si>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</si>
  <si>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</si>
  <si>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</si>
  <si>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</si>
  <si>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</si>
  <si>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</si>
  <si>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</si>
  <si>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</si>
  <si>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</si>
  <si>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</si>
  <si>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</si>
  <si>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</si>
  <si>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</si>
  <si>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</si>
  <si>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</si>
  <si>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</si>
  <si>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</si>
  <si>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</si>
  <si>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</si>
  <si>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</si>
  <si>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</si>
  <si>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</si>
  <si>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</si>
  <si>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</si>
  <si>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</si>
  <si>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</si>
  <si>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</si>
  <si>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</si>
  <si>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</si>
  <si>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</si>
  <si>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</si>
  <si>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</si>
  <si>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</si>
  <si>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</si>
  <si>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</si>
  <si>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</si>
  <si>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</si>
  <si>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</si>
  <si>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</si>
  <si>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</si>
  <si>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</si>
  <si>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</si>
  <si>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</si>
  <si>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</si>
  <si>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</si>
  <si>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</si>
  <si>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</si>
  <si>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</si>
  <si>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</si>
  <si>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</si>
  <si>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</si>
  <si>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</si>
  <si>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</si>
  <si>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</si>
  <si>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</si>
  <si>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</si>
  <si>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</si>
  <si>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</si>
  <si>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</si>
  <si>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</si>
  <si>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</si>
  <si>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</si>
  <si>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</si>
  <si>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</si>
  <si>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</si>
  <si>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</si>
  <si>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</si>
  <si>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</si>
  <si>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</si>
  <si>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</si>
  <si>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</si>
  <si>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</si>
  <si>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</si>
  <si>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</si>
  <si>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</si>
  <si>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</si>
  <si>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</si>
  <si>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</si>
  <si>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</si>
  <si>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</si>
  <si>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</si>
  <si>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</si>
  <si>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</si>
  <si>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</si>
  <si>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</si>
  <si>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</si>
  <si>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</si>
  <si>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</si>
  <si>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</si>
  <si>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</si>
  <si>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</si>
  <si>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</si>
  <si>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</si>
  <si>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</si>
  <si>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</si>
  <si>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</si>
  <si>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</si>
  <si>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</si>
  <si>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</si>
  <si>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</si>
  <si>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</si>
  <si>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</si>
  <si>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</si>
  <si>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</si>
  <si>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</si>
  <si>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</si>
  <si>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</si>
  <si>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</si>
  <si>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</si>
  <si>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</si>
  <si>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</si>
  <si>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</si>
  <si>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</si>
  <si>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</si>
  <si>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</si>
  <si>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</si>
  <si>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</si>
  <si>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</si>
  <si>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</si>
  <si>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</si>
  <si>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</si>
  <si>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</si>
  <si>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</si>
  <si>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</si>
  <si>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</si>
  <si>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</si>
  <si>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</si>
  <si>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</si>
  <si>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</si>
  <si>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</si>
  <si>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</si>
  <si>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</si>
  <si>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</si>
  <si>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</si>
  <si>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</si>
  <si>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</si>
  <si>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</si>
  <si>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</si>
  <si>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</si>
  <si>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</si>
  <si>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</si>
  <si>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</si>
  <si>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</si>
  <si>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</si>
  <si>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</si>
  <si>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</si>
  <si>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</si>
  <si>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</si>
  <si>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</si>
  <si>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</si>
  <si>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</si>
  <si>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</si>
  <si>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</si>
  <si>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</si>
  <si>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</si>
  <si>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</si>
  <si>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</si>
  <si>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</si>
  <si>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</si>
  <si>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</si>
  <si>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</si>
  <si>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</si>
  <si>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</si>
  <si>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</si>
  <si>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</si>
  <si>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</si>
  <si>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</si>
  <si>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</si>
  <si>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</si>
  <si>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</si>
  <si>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</si>
  <si>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</si>
  <si>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</si>
  <si>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</si>
  <si>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</si>
  <si>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</si>
  <si>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</si>
  <si>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</si>
  <si>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</si>
  <si>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</si>
  <si>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</si>
  <si>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</si>
  <si>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</si>
  <si>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</si>
  <si>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</si>
  <si>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</si>
  <si>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</si>
  <si>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</si>
  <si>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</si>
  <si>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</si>
  <si>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</si>
  <si>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</si>
  <si>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</si>
  <si>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</si>
  <si>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</si>
  <si>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</si>
  <si>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</si>
  <si>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</si>
  <si>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</si>
  <si>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</si>
  <si>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</si>
  <si>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</si>
  <si>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</si>
  <si>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</si>
  <si>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</si>
  <si>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</si>
  <si>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</si>
  <si>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</si>
  <si>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</si>
  <si>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</si>
  <si>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</si>
  <si>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</si>
  <si>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</si>
  <si>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</si>
  <si>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</si>
  <si>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</si>
  <si>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</si>
  <si>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</si>
  <si>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</si>
  <si>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</si>
  <si>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</si>
  <si>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</si>
  <si>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</si>
  <si>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</si>
  <si>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</si>
  <si>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</si>
  <si>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</si>
  <si>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</si>
  <si>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</si>
  <si>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</si>
  <si>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</si>
  <si>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</si>
  <si>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</si>
  <si>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</si>
  <si>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</si>
  <si>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</si>
  <si>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</si>
  <si>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</si>
  <si>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</si>
  <si>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</si>
  <si>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</si>
  <si>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</si>
  <si>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</si>
  <si>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</si>
  <si>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</si>
  <si>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</si>
  <si>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</si>
  <si>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</si>
  <si>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</si>
  <si>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</si>
  <si>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</si>
  <si>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</si>
  <si>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</si>
  <si>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</si>
  <si>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</si>
  <si>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</si>
  <si>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</si>
  <si>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</si>
  <si>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</si>
  <si>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</si>
  <si>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</si>
  <si>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</si>
  <si>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</si>
  <si>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</si>
  <si>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</si>
  <si>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</si>
  <si>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</si>
  <si>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</si>
  <si>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</si>
  <si>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</si>
  <si>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</si>
  <si>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</si>
  <si>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</si>
  <si>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</si>
  <si>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</si>
  <si>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</si>
  <si>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</si>
  <si>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</si>
  <si>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</si>
  <si>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</si>
  <si>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</si>
  <si>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</si>
  <si>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</si>
  <si>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</si>
  <si>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</si>
  <si>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</si>
  <si>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</si>
  <si>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</si>
  <si>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</si>
  <si>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</si>
  <si>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</si>
  <si>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</si>
  <si>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</si>
  <si>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</si>
  <si>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</si>
  <si>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</si>
  <si>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</si>
  <si>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</si>
  <si>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</si>
  <si>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</si>
  <si>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</si>
  <si>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</si>
  <si>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</si>
  <si>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</si>
  <si>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</si>
  <si>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</si>
  <si>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</si>
  <si>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</si>
  <si>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</si>
  <si>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</si>
  <si>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</si>
  <si>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</si>
  <si>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</si>
  <si>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</si>
  <si>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</si>
  <si>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</si>
  <si>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</si>
  <si>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</si>
  <si>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</si>
  <si>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</si>
  <si>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</si>
  <si>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</si>
  <si>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</si>
  <si>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</si>
  <si>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</si>
  <si>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</si>
  <si>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</si>
  <si>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</si>
  <si>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</si>
  <si>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</si>
  <si>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</si>
  <si>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</si>
  <si>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</si>
  <si>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</si>
  <si>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</si>
  <si>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</si>
  <si>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</si>
  <si>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</si>
  <si>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</si>
  <si>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</si>
  <si>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</si>
  <si>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</si>
  <si>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</si>
  <si>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</si>
  <si>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</si>
  <si>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</si>
  <si>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</si>
  <si>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</si>
  <si>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</si>
  <si>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</si>
  <si>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</si>
  <si>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</si>
  <si>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</si>
  <si>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</si>
  <si>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</si>
  <si>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</si>
  <si>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</si>
  <si>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</si>
  <si>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</si>
  <si>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</si>
  <si>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</si>
  <si>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</si>
  <si>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</si>
  <si>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</si>
  <si>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</si>
  <si>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</si>
  <si>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</si>
  <si>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</si>
  <si>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</si>
  <si>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</si>
  <si>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</si>
  <si>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</si>
  <si>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</si>
  <si>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</si>
  <si>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</si>
  <si>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</si>
  <si>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</si>
  <si>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</si>
  <si>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</si>
  <si>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</si>
  <si>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</si>
  <si>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</si>
  <si>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</si>
  <si>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</si>
  <si>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</si>
  <si>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</si>
  <si>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</si>
  <si>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</si>
  <si>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</si>
  <si>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</si>
  <si>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</si>
  <si>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</si>
  <si>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</si>
  <si>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</si>
  <si>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</si>
  <si>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</si>
  <si>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</si>
  <si>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</si>
  <si>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</si>
  <si>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</si>
  <si>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</si>
  <si>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</si>
  <si>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</si>
  <si>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</si>
  <si>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</si>
  <si>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</si>
  <si>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</si>
  <si>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</si>
  <si>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</si>
  <si>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</si>
  <si>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</si>
  <si>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</si>
  <si>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</si>
  <si>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</si>
  <si>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</si>
  <si>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</si>
  <si>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</si>
  <si>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</si>
  <si>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</si>
  <si>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</si>
  <si>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</si>
  <si>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</si>
  <si>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</si>
  <si>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</si>
  <si>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</si>
  <si>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</si>
  <si>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</si>
  <si>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</si>
  <si>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</si>
  <si>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</si>
  <si>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</si>
  <si>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</si>
  <si>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</si>
  <si>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</si>
  <si>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</si>
  <si>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</si>
  <si>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</si>
  <si>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</si>
  <si>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</si>
  <si>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</si>
  <si>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</si>
  <si>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</si>
  <si>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</si>
  <si>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</si>
  <si>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</si>
  <si>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</si>
  <si>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</si>
  <si>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</si>
  <si>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</si>
  <si>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</si>
  <si>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</si>
  <si>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</si>
  <si>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</si>
  <si>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</si>
  <si>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</si>
  <si>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</si>
  <si>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</si>
  <si>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</si>
  <si>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</si>
  <si>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</si>
  <si>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</si>
  <si>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</si>
  <si>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</si>
  <si>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</si>
  <si>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</si>
  <si>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</si>
  <si>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</si>
  <si>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</si>
  <si>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</si>
  <si>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</si>
  <si>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</si>
  <si>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</si>
  <si>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</si>
  <si>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</si>
  <si>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</si>
  <si>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</si>
  <si>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</si>
  <si>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</si>
  <si>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</si>
  <si>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</si>
  <si>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</si>
  <si>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</si>
  <si>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</si>
  <si>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</si>
  <si>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</si>
  <si>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</si>
  <si>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</si>
  <si>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</si>
  <si>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</si>
  <si>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</si>
  <si>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</si>
  <si>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</si>
  <si>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</si>
  <si>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</si>
  <si>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</si>
  <si>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</si>
  <si>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</si>
  <si>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</si>
  <si>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</si>
  <si>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</si>
  <si>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</si>
  <si>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</si>
  <si>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</si>
  <si>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</si>
  <si>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</si>
  <si>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</si>
  <si>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</si>
  <si>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</si>
  <si>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</si>
  <si>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</si>
  <si>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</si>
  <si>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</si>
  <si>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</si>
  <si>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</si>
  <si>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</si>
  <si>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</si>
  <si>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</si>
  <si>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</si>
  <si>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</si>
  <si>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</si>
  <si>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</si>
  <si>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</si>
  <si>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</si>
  <si>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</si>
  <si>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</si>
  <si>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</si>
  <si>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</si>
  <si>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</si>
  <si>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</si>
  <si>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</si>
  <si>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</si>
  <si>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</si>
  <si>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</si>
  <si>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</si>
  <si>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</si>
  <si>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</si>
  <si>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</si>
  <si>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</si>
  <si>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</si>
  <si>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</si>
  <si>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</si>
  <si>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</si>
  <si>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</si>
  <si>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</si>
  <si>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</si>
  <si>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</si>
  <si>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</si>
  <si>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</si>
  <si>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</si>
  <si>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</si>
  <si>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</si>
  <si>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</si>
  <si>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</si>
  <si>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</si>
  <si>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</si>
  <si>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</si>
  <si>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</si>
  <si>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</si>
  <si>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</si>
  <si>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</si>
  <si>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</si>
  <si>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</si>
  <si>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</si>
  <si>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</si>
  <si>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</si>
  <si>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</si>
  <si>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</si>
  <si>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</si>
  <si>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</si>
  <si>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</si>
  <si>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</si>
  <si>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</si>
  <si>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</si>
  <si>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</si>
  <si>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</si>
  <si>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</si>
  <si>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</si>
  <si>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</si>
  <si>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</si>
  <si>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</si>
  <si>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</si>
  <si>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</si>
  <si>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</si>
  <si>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</si>
  <si>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</si>
  <si>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</si>
  <si>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</si>
  <si>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</si>
  <si>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</si>
  <si>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</si>
  <si>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</si>
  <si>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</si>
  <si>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</si>
  <si>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</si>
  <si>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</si>
  <si>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</si>
  <si>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</si>
  <si>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</si>
  <si>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</si>
  <si>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</si>
  <si>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</si>
  <si>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</si>
  <si>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</si>
  <si>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</si>
  <si>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</si>
  <si>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</si>
  <si>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</si>
  <si>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</si>
  <si>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</si>
  <si>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</si>
  <si>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</si>
  <si>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</si>
  <si>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</si>
  <si>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</si>
  <si>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</si>
  <si>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</si>
  <si>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</si>
  <si>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</si>
  <si>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</si>
  <si>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</si>
  <si>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</si>
  <si>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</si>
  <si>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</si>
  <si>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</si>
  <si>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</si>
  <si>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</si>
  <si>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</si>
  <si>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</si>
  <si>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</si>
  <si>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</si>
  <si>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</si>
  <si>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</si>
  <si>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</si>
  <si>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</si>
  <si>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</si>
  <si>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</si>
  <si>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</si>
  <si>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</si>
  <si>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</si>
  <si>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</si>
  <si>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</si>
  <si>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</si>
  <si>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</si>
  <si>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</si>
  <si>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</si>
  <si>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</si>
  <si>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</si>
  <si>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</si>
  <si>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</si>
  <si>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</si>
  <si>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</si>
  <si>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</si>
  <si>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</si>
  <si>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</si>
  <si>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</si>
  <si>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</si>
  <si>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</si>
  <si>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</si>
  <si>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</si>
  <si>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</si>
  <si>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</si>
  <si>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</si>
  <si>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</si>
  <si>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</si>
  <si>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</si>
  <si>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</si>
  <si>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</si>
  <si>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</si>
  <si>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</si>
  <si>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</si>
  <si>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</si>
  <si>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</si>
  <si>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</si>
  <si>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</si>
  <si>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</si>
  <si>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</si>
  <si>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</si>
  <si>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</si>
  <si>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</si>
  <si>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</si>
  <si>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</si>
  <si>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</si>
  <si>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</si>
  <si>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</si>
  <si>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</si>
  <si>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</si>
  <si>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</si>
  <si>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</si>
  <si>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</si>
  <si>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</si>
  <si>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</si>
  <si>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</si>
  <si>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</si>
  <si>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</si>
  <si>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</si>
  <si>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</si>
  <si>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</si>
  <si>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</si>
  <si>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</si>
  <si>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</si>
  <si>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</si>
  <si>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</si>
  <si>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</si>
  <si>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</si>
  <si>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</si>
  <si>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</si>
  <si>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</si>
  <si>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</si>
  <si>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</si>
  <si>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</si>
  <si>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</si>
  <si>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</si>
  <si>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</si>
  <si>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</si>
  <si>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</si>
  <si>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</si>
  <si>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</si>
  <si>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</si>
  <si>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</si>
  <si>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</si>
  <si>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</si>
  <si>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</si>
  <si>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</si>
  <si>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</si>
  <si>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</si>
  <si>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</si>
  <si>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</si>
  <si>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</si>
  <si>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</si>
  <si>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</si>
  <si>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</si>
  <si>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</si>
  <si>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</si>
  <si>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</si>
  <si>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</si>
  <si>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</si>
  <si>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</si>
  <si>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</si>
  <si>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</si>
  <si>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</si>
  <si>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</si>
  <si>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</si>
  <si>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</si>
  <si>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</si>
  <si>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</si>
  <si>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</si>
  <si>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</si>
  <si>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</si>
  <si>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</si>
  <si>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</si>
  <si>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</si>
  <si>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</si>
  <si>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</si>
  <si>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</si>
  <si>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</si>
  <si>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</si>
  <si>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</si>
  <si>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</si>
  <si>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</si>
  <si>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</si>
  <si>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</si>
  <si>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</si>
  <si>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</si>
  <si>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</si>
  <si>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</si>
  <si>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</si>
  <si>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</si>
  <si>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</si>
  <si>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</si>
  <si>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</si>
  <si>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</si>
  <si>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</si>
  <si>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</si>
  <si>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</si>
  <si>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</si>
  <si>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</si>
  <si>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</si>
  <si>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</si>
  <si>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</si>
  <si>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Row Labels</t>
  </si>
  <si>
    <t>Grand Total</t>
  </si>
  <si>
    <t>Sum of Purchase Amount</t>
  </si>
  <si>
    <t>Count of Call number</t>
  </si>
  <si>
    <t>Group1</t>
  </si>
  <si>
    <t>Group2</t>
  </si>
  <si>
    <t>Group3</t>
  </si>
  <si>
    <t>Group4</t>
  </si>
  <si>
    <t>Group5</t>
  </si>
  <si>
    <t>Jan</t>
  </si>
  <si>
    <t>Feb</t>
  </si>
  <si>
    <t>Mar</t>
  </si>
  <si>
    <t>Apr</t>
  </si>
  <si>
    <t>Jul</t>
  </si>
  <si>
    <t>Aug</t>
  </si>
  <si>
    <t>Sep</t>
  </si>
  <si>
    <t>Oct</t>
  </si>
  <si>
    <t>Nov</t>
  </si>
  <si>
    <t>May</t>
  </si>
  <si>
    <t>Jun</t>
  </si>
  <si>
    <t>Dec</t>
  </si>
  <si>
    <t>Call Count</t>
  </si>
  <si>
    <t>Total Amount</t>
  </si>
  <si>
    <t>Total Duration</t>
  </si>
  <si>
    <t>Avg Rating</t>
  </si>
  <si>
    <t>Rounded rating</t>
  </si>
  <si>
    <t>5* Calls</t>
  </si>
  <si>
    <t>calls[Call number]</t>
  </si>
  <si>
    <t>calls[Customer ID]</t>
  </si>
  <si>
    <t>calls[Duration]</t>
  </si>
  <si>
    <t>calls[Representative]</t>
  </si>
  <si>
    <t>calls[Date of Call]</t>
  </si>
  <si>
    <t>calls[Purchase Amount]</t>
  </si>
  <si>
    <t>calls[Satisfaction Rating]</t>
  </si>
  <si>
    <t>calls[Rounded rating]</t>
  </si>
  <si>
    <t>Data returned for Total Duration (First 1000 rows).</t>
  </si>
  <si>
    <t>graphs</t>
  </si>
  <si>
    <t>Call Count2</t>
  </si>
  <si>
    <t>day</t>
  </si>
  <si>
    <t>Friday</t>
  </si>
  <si>
    <t>Monday</t>
  </si>
  <si>
    <t>Saturday</t>
  </si>
  <si>
    <t>Sunday</t>
  </si>
  <si>
    <t>Thursday</t>
  </si>
  <si>
    <t>Tuesday</t>
  </si>
  <si>
    <t>Wednesday</t>
  </si>
  <si>
    <t>for graph</t>
  </si>
  <si>
    <t>reps</t>
  </si>
  <si>
    <t>sel calls</t>
  </si>
  <si>
    <t>sel amt</t>
  </si>
  <si>
    <t>Column Labels</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</si>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</sst>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409]d\-mmm\-yy;@"/>
    <numFmt numFmtId="165" formatCode="&quot;₹&quot;\ #,##0"/>
    <numFmt numFmtId="166" formatCode="0.0"/>
    <numFmt numFmtId="167" formatCode="_ [$₹-4009]\ * #,##0.00_ ;_ [$₹-4009]\ * \-#,##0.00_ ;_ [$₹-4009]\ * &quot;-&quot;??_ ;_ @_ "/>
  </numFmts>
  <fonts count="5" x14ac:knownFonts="1">
    <font>
      <sz val="11"/>
      <color theme="1"/>
      <name val="Century Schoolbook"/>
      <family val="2"/>
      <scheme val="minor"/>
    </font>
    <font>
      <b/>
      <sz val="11"/>
      <color theme="1"/>
      <name val="Century Schoolbook"/>
      <family val="2"/>
      <scheme val="minor"/>
    </font>
    <font>
      <sz val="8"/>
      <name val="Century Schoolbook"/>
      <family val="2"/>
      <scheme val="minor"/>
    </font>
    <font>
      <sz val="18"/>
      <color theme="1"/>
      <name val="Aptos ExtraBold"/>
      <family val="2"/>
    </font>
    <font>
      <b/>
      <sz val="11"/>
      <color theme="1"/>
      <name val="Century Schoolbook"/>
      <family val="1"/>
      <scheme val="minor"/>
    </font>
  </fonts>
  <fills count="5">
    <fill>
      <patternFill patternType="none"/>
    </fill>
    <fill>
      <patternFill patternType="gray125"/>
    </fill>
    <fill>
      <patternFill patternType="solid">
        <fgColor theme="7"/>
        <bgColor indexed="64"/>
      </patternFill>
    </fill>
    <fill>
      <patternFill patternType="solid">
        <fgColor theme="7" tint="0.79998168889431442"/>
        <bgColor indexed="64"/>
      </patternFill>
    </fill>
    <fill>
      <patternFill patternType="solid">
        <fgColor theme="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indexed="64"/>
      </bottom>
      <diagonal/>
    </border>
  </borders>
  <cellStyleXfs count="1">
    <xf numFmtId="0" fontId="0" fillId="0" borderId="0"/>
  </cellStyleXfs>
  <cellXfs count="35">
    <xf numFmtId="0" fontId="0" fillId="0" borderId="0" xfId="0"/>
    <xf numFmtId="9" fontId="0" fillId="0" borderId="0" xfId="0" applyNumberFormat="1"/>
    <xf numFmtId="0" fontId="0" fillId="0" borderId="1" xfId="0" applyBorder="1"/>
    <xf numFmtId="2" fontId="0" fillId="0" borderId="1" xfId="0" applyNumberFormat="1" applyBorder="1" applyAlignment="1">
      <alignment horizontal="center"/>
    </xf>
    <xf numFmtId="9" fontId="0" fillId="0" borderId="1" xfId="0" applyNumberFormat="1" applyBorder="1"/>
    <xf numFmtId="0" fontId="0" fillId="2" borderId="0" xfId="0" applyFill="1"/>
    <xf numFmtId="164" fontId="0" fillId="0" borderId="1" xfId="0" applyNumberFormat="1" applyBorder="1" applyAlignment="1">
      <alignment horizontal="center"/>
    </xf>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5" xfId="0" applyFont="1" applyBorder="1" applyAlignment="1">
      <alignment horizontal="right"/>
    </xf>
    <xf numFmtId="0" fontId="1" fillId="0" borderId="5" xfId="0" applyFont="1" applyBorder="1" applyAlignment="1">
      <alignment horizontal="center"/>
    </xf>
    <xf numFmtId="0" fontId="1" fillId="0" borderId="6" xfId="0" applyFont="1" applyBorder="1"/>
    <xf numFmtId="0" fontId="0" fillId="0" borderId="7" xfId="0" applyBorder="1"/>
    <xf numFmtId="0" fontId="0" fillId="0" borderId="8" xfId="0" applyBorder="1"/>
    <xf numFmtId="2" fontId="0" fillId="0" borderId="8" xfId="0" applyNumberFormat="1" applyBorder="1" applyAlignment="1">
      <alignment horizontal="center"/>
    </xf>
    <xf numFmtId="164" fontId="0" fillId="0" borderId="8" xfId="0" applyNumberFormat="1" applyBorder="1" applyAlignment="1">
      <alignment horizontal="center"/>
    </xf>
    <xf numFmtId="0" fontId="0" fillId="0" borderId="9" xfId="0" applyBorder="1"/>
    <xf numFmtId="0" fontId="0" fillId="0" borderId="0" xfId="0" pivotButton="1"/>
    <xf numFmtId="0" fontId="0" fillId="0" borderId="0" xfId="0" applyAlignment="1">
      <alignment horizontal="left"/>
    </xf>
    <xf numFmtId="165" fontId="0" fillId="0" borderId="0" xfId="0" applyNumberFormat="1"/>
    <xf numFmtId="14" fontId="0" fillId="0" borderId="0" xfId="0" applyNumberFormat="1"/>
    <xf numFmtId="0" fontId="1" fillId="0" borderId="0" xfId="0" applyFont="1"/>
    <xf numFmtId="9" fontId="0" fillId="0" borderId="8" xfId="0" applyNumberFormat="1" applyBorder="1"/>
    <xf numFmtId="0" fontId="0" fillId="0" borderId="10" xfId="0" applyBorder="1"/>
    <xf numFmtId="3" fontId="0" fillId="0" borderId="0" xfId="0" applyNumberFormat="1"/>
    <xf numFmtId="166" fontId="0" fillId="0" borderId="0" xfId="0" applyNumberFormat="1"/>
    <xf numFmtId="4" fontId="0" fillId="0" borderId="0" xfId="0" applyNumberFormat="1"/>
    <xf numFmtId="0" fontId="0" fillId="0" borderId="0" xfId="0" applyAlignment="1">
      <alignment horizontal="left" indent="1"/>
    </xf>
    <xf numFmtId="0" fontId="0" fillId="3" borderId="0" xfId="0" applyFill="1"/>
    <xf numFmtId="0" fontId="0" fillId="4" borderId="0" xfId="0" applyFill="1"/>
    <xf numFmtId="167" fontId="0" fillId="4" borderId="0" xfId="0" applyNumberFormat="1" applyFill="1"/>
    <xf numFmtId="0" fontId="4" fillId="4" borderId="0" xfId="0" applyFont="1" applyFill="1"/>
  </cellXfs>
  <cellStyles count="1">
    <cellStyle name="Normal" xfId="0" builtinId="0"/>
  </cellStyles>
  <dxfs count="23">
    <dxf>
      <fill>
        <patternFill>
          <bgColor rgb="FF00B050"/>
        </patternFill>
      </fill>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entury Schoolbook"/>
        <family val="2"/>
        <scheme val="minor"/>
      </font>
      <border diagonalUp="0" diagonalDown="0" outline="0">
        <left style="thin">
          <color indexed="64"/>
        </left>
        <right style="thin">
          <color indexed="64"/>
        </right>
        <top/>
        <bottom/>
      </border>
    </dxf>
    <dxf>
      <numFmt numFmtId="0" formatCode="General"/>
    </dxf>
    <dxf>
      <numFmt numFmtId="0" formatCode="General"/>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4" formatCode="[$-409]d\-mmm\-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numFmt numFmtId="19" formatCode="dd/mm/yyyy"/>
    </dxf>
    <dxf>
      <border>
        <left style="thin">
          <color theme="0" tint="-0.14996795556505021"/>
        </left>
        <right style="thin">
          <color theme="0" tint="-0.14996795556505021"/>
        </right>
        <top style="thin">
          <color theme="0" tint="-0.14996795556505021"/>
        </top>
        <bottom style="thin">
          <color theme="0" tint="-0.14996795556505021"/>
        </bottom>
      </border>
    </dxf>
  </dxfs>
  <tableStyles count="1" defaultTableStyle="TableStyleMedium2" defaultPivotStyle="PivotStyleLight16">
    <tableStyle name="Slicer Style 1" pivot="0" table="0" count="1" xr9:uid="{25BABDA2-DB3D-41F6-98D0-3EE7CBB0176F}">
      <tableStyleElement type="wholeTable" dxfId="2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CacheDefinition" Target="pivotCache/pivotCacheDefinition7.xml"/><Relationship Id="rId18" Type="http://schemas.microsoft.com/office/2007/relationships/slicerCache" Target="slicerCaches/slicerCache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sharedStrings" Target="sharedStrings.xml"/><Relationship Id="rId10" Type="http://schemas.openxmlformats.org/officeDocument/2006/relationships/pivotCacheDefinition" Target="pivotCache/pivotCacheDefinition4.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[customer_call_analysis.xlsx]Sheet5!PivotTable1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88648293963254"/>
          <c:y val="0.21698855351414403"/>
          <c:w val="0.73044663167104107"/>
          <c:h val="0.53811424613589964"/>
        </c:manualLayout>
      </c:layout>
      <c:lineChart>
        <c:grouping val="stacked"/>
        <c:varyColors val="0"/>
        <c:ser>
          <c:idx val="0"/>
          <c:order val="0"/>
          <c:tx>
            <c:strRef>
              <c:f>Sheet5!$B$3</c:f>
              <c:strCache>
                <c:ptCount val="1"/>
                <c:pt idx="0">
                  <c:v>Total</c:v>
                </c:pt>
              </c:strCache>
            </c:strRef>
          </c:tx>
          <c:spPr>
            <a:ln w="28575" cap="rnd">
              <a:solidFill>
                <a:schemeClr val="accent1"/>
              </a:solidFill>
              <a:round/>
            </a:ln>
            <a:effectLst/>
          </c:spPr>
          <c:marker>
            <c:symbol val="none"/>
          </c:marker>
          <c:cat>
            <c:strRef>
              <c:f>Sheet5!$A$4:$A$16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Sheet5!$B$4:$B$16</c:f>
              <c:numCache>
                <c:formatCode>General</c:formatCode>
                <c:ptCount val="12"/>
                <c:pt idx="0">
                  <c:v>13</c:v>
                </c:pt>
                <c:pt idx="1">
                  <c:v>13</c:v>
                </c:pt>
                <c:pt idx="2">
                  <c:v>28</c:v>
                </c:pt>
                <c:pt idx="3">
                  <c:v>24</c:v>
                </c:pt>
                <c:pt idx="4">
                  <c:v>23</c:v>
                </c:pt>
                <c:pt idx="5">
                  <c:v>17</c:v>
                </c:pt>
                <c:pt idx="6">
                  <c:v>11</c:v>
                </c:pt>
                <c:pt idx="7">
                  <c:v>11</c:v>
                </c:pt>
                <c:pt idx="8">
                  <c:v>14</c:v>
                </c:pt>
                <c:pt idx="9">
                  <c:v>30</c:v>
                </c:pt>
                <c:pt idx="10">
                  <c:v>14</c:v>
                </c:pt>
                <c:pt idx="11">
                  <c:v>9</c:v>
                </c:pt>
              </c:numCache>
            </c:numRef>
          </c:val>
          <c:smooth val="0"/>
          <c:extLst>
            <c:ext xmlns:c16="http://schemas.microsoft.com/office/drawing/2014/chart" uri="{C3380CC4-5D6E-409C-BE32-E72D297353CC}">
              <c16:uniqueId val="{00000000-12A7-4191-8D47-7F3E97DDD1CC}"/>
            </c:ext>
          </c:extLst>
        </c:ser>
        <c:dLbls>
          <c:showLegendKey val="0"/>
          <c:showVal val="0"/>
          <c:showCatName val="0"/>
          <c:showSerName val="0"/>
          <c:showPercent val="0"/>
          <c:showBubbleSize val="0"/>
        </c:dLbls>
        <c:smooth val="0"/>
        <c:axId val="27317648"/>
        <c:axId val="27326288"/>
      </c:lineChart>
      <c:catAx>
        <c:axId val="27317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326288"/>
        <c:crosses val="autoZero"/>
        <c:auto val="1"/>
        <c:lblAlgn val="ctr"/>
        <c:lblOffset val="100"/>
        <c:noMultiLvlLbl val="0"/>
      </c:catAx>
      <c:valAx>
        <c:axId val="27326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317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[customer_call_analysis.xlsx]Sheet5!PivotTable2</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Sheet5!$B$28</c:f>
              <c:strCache>
                <c:ptCount val="1"/>
                <c:pt idx="0">
                  <c:v>Total</c:v>
                </c:pt>
              </c:strCache>
            </c:strRef>
          </c:tx>
          <c:spPr>
            <a:solidFill>
              <a:schemeClr val="accent1"/>
            </a:solidFill>
            <a:ln>
              <a:noFill/>
            </a:ln>
            <a:effectLst/>
          </c:spPr>
          <c:cat>
            <c:strRef>
              <c:f>Sheet5!$A$29:$A$41</c:f>
              <c:strCache>
                <c:ptCount val="12"/>
                <c:pt idx="0">
                  <c:v>Jan</c:v>
                </c:pt>
                <c:pt idx="1">
                  <c:v>Feb</c:v>
                </c:pt>
                <c:pt idx="2">
                  <c:v>graphs</c:v>
                </c:pt>
                <c:pt idx="3">
                  <c:v>Apr</c:v>
                </c:pt>
                <c:pt idx="4">
                  <c:v>May</c:v>
                </c:pt>
                <c:pt idx="5">
                  <c:v>Jun</c:v>
                </c:pt>
                <c:pt idx="6">
                  <c:v>Jul</c:v>
                </c:pt>
                <c:pt idx="7">
                  <c:v>Aug</c:v>
                </c:pt>
                <c:pt idx="8">
                  <c:v>Sep</c:v>
                </c:pt>
                <c:pt idx="9">
                  <c:v>Oct</c:v>
                </c:pt>
                <c:pt idx="10">
                  <c:v>Nov</c:v>
                </c:pt>
                <c:pt idx="11">
                  <c:v>Dec</c:v>
                </c:pt>
              </c:strCache>
            </c:strRef>
          </c:cat>
          <c:val>
            <c:numRef>
              <c:f>Sheet5!$B$29:$B$41</c:f>
              <c:numCache>
                <c:formatCode>General</c:formatCode>
                <c:ptCount val="12"/>
                <c:pt idx="0">
                  <c:v>1102</c:v>
                </c:pt>
                <c:pt idx="1">
                  <c:v>2333</c:v>
                </c:pt>
                <c:pt idx="2">
                  <c:v>4897</c:v>
                </c:pt>
                <c:pt idx="3">
                  <c:v>7042</c:v>
                </c:pt>
                <c:pt idx="4">
                  <c:v>9385</c:v>
                </c:pt>
                <c:pt idx="5">
                  <c:v>11127</c:v>
                </c:pt>
                <c:pt idx="6">
                  <c:v>12599</c:v>
                </c:pt>
                <c:pt idx="7">
                  <c:v>13583</c:v>
                </c:pt>
                <c:pt idx="8">
                  <c:v>14935</c:v>
                </c:pt>
                <c:pt idx="9">
                  <c:v>18176</c:v>
                </c:pt>
                <c:pt idx="10">
                  <c:v>19803</c:v>
                </c:pt>
                <c:pt idx="11">
                  <c:v>20872</c:v>
                </c:pt>
              </c:numCache>
            </c:numRef>
          </c:val>
          <c:extLst>
            <c:ext xmlns:c16="http://schemas.microsoft.com/office/drawing/2014/chart" uri="{C3380CC4-5D6E-409C-BE32-E72D297353CC}">
              <c16:uniqueId val="{00000000-B065-4375-AA1B-23E3553ADF91}"/>
            </c:ext>
          </c:extLst>
        </c:ser>
        <c:dLbls>
          <c:showLegendKey val="0"/>
          <c:showVal val="0"/>
          <c:showCatName val="0"/>
          <c:showSerName val="0"/>
          <c:showPercent val="0"/>
          <c:showBubbleSize val="0"/>
        </c:dLbls>
        <c:axId val="297700976"/>
        <c:axId val="297701456"/>
      </c:areaChart>
      <c:catAx>
        <c:axId val="2977009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7701456"/>
        <c:crosses val="autoZero"/>
        <c:auto val="1"/>
        <c:lblAlgn val="ctr"/>
        <c:lblOffset val="100"/>
        <c:noMultiLvlLbl val="0"/>
      </c:catAx>
      <c:valAx>
        <c:axId val="297701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770097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23918791105868092"/>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1"/>
          <c:order val="0"/>
          <c:spPr>
            <a:solidFill>
              <a:schemeClr val="bg2"/>
            </a:solidFill>
          </c:spPr>
          <c:invertIfNegative val="0"/>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tabel'!$F$38:$F$42</c:f>
              <c:strCache>
                <c:ptCount val="5"/>
                <c:pt idx="0">
                  <c:v>R01</c:v>
                </c:pt>
                <c:pt idx="1">
                  <c:v>R02</c:v>
                </c:pt>
                <c:pt idx="2">
                  <c:v>R03</c:v>
                </c:pt>
                <c:pt idx="3">
                  <c:v>R04</c:v>
                </c:pt>
                <c:pt idx="4">
                  <c:v>R05</c:v>
                </c:pt>
              </c:strCache>
            </c:strRef>
          </c:cat>
          <c:val>
            <c:numRef>
              <c:f>'pivot tabel'!$H$38:$H$42</c:f>
              <c:numCache>
                <c:formatCode>"₹"\ #,##0</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3-A70F-452D-9A23-52E48B06CCC2}"/>
            </c:ext>
          </c:extLst>
        </c:ser>
        <c:ser>
          <c:idx val="0"/>
          <c:order val="1"/>
          <c:tx>
            <c:strRef>
              <c:f>'pivot tabel'!$J$37</c:f>
              <c:strCache>
                <c:ptCount val="1"/>
                <c:pt idx="0">
                  <c:v>sel amt</c:v>
                </c:pt>
              </c:strCache>
            </c:strRef>
          </c:tx>
          <c:spPr>
            <a:gradFill>
              <a:gsLst>
                <a:gs pos="0">
                  <a:schemeClr val="accent1">
                    <a:lumMod val="60000"/>
                    <a:lumOff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c:spPr>
          <c:invertIfNegative val="0"/>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'pivot tabel'!$J$38:$J$42</c:f>
              <c:numCache>
                <c:formatCode>General</c:formatCode>
                <c:ptCount val="5"/>
                <c:pt idx="0">
                  <c:v>#N/A</c:v>
                </c:pt>
                <c:pt idx="1">
                  <c:v>20581</c:v>
                </c:pt>
                <c:pt idx="2">
                  <c:v>#N/A</c:v>
                </c:pt>
                <c:pt idx="3">
                  <c:v>#N/A</c:v>
                </c:pt>
                <c:pt idx="4">
                  <c:v>#N/A</c:v>
                </c:pt>
              </c:numCache>
            </c:numRef>
          </c:val>
          <c:extLst>
            <c:ext xmlns:c16="http://schemas.microsoft.com/office/drawing/2014/chart" uri="{C3380CC4-5D6E-409C-BE32-E72D297353CC}">
              <c16:uniqueId val="{00000005-A70F-452D-9A23-52E48B06CCC2}"/>
            </c:ext>
          </c:extLst>
        </c:ser>
        <c:dLbls>
          <c:dLblPos val="ctr"/>
          <c:showLegendKey val="0"/>
          <c:showVal val="1"/>
          <c:showCatName val="0"/>
          <c:showSerName val="0"/>
          <c:showPercent val="0"/>
          <c:showBubbleSize val="0"/>
        </c:dLbls>
        <c:gapWidth val="150"/>
        <c:overlap val="100"/>
        <c:axId val="992264640"/>
        <c:axId val="992256000"/>
      </c:barChart>
      <c:catAx>
        <c:axId val="9922646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256000"/>
        <c:crosses val="autoZero"/>
        <c:auto val="1"/>
        <c:lblAlgn val="ctr"/>
        <c:lblOffset val="100"/>
        <c:noMultiLvlLbl val="0"/>
      </c:catAx>
      <c:valAx>
        <c:axId val="992256000"/>
        <c:scaling>
          <c:orientation val="minMax"/>
        </c:scaling>
        <c:delete val="1"/>
        <c:axPos val="b"/>
        <c:numFmt formatCode="&quot;₹&quot;\ #,##0" sourceLinked="1"/>
        <c:majorTickMark val="none"/>
        <c:minorTickMark val="none"/>
        <c:tickLblPos val="nextTo"/>
        <c:crossAx val="992264640"/>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spPr>
            <a:solidFill>
              <a:schemeClr val="bg2"/>
            </a:solidFill>
            <a:ln>
              <a:noFill/>
            </a:ln>
            <a:effectLst/>
          </c:spPr>
          <c:invertIfNegative val="0"/>
          <c:dLbls>
            <c:dLbl>
              <c:idx val="0"/>
              <c:tx>
                <c:rich>
                  <a:bodyPr/>
                  <a:lstStyle/>
                  <a:p>
                    <a:fld id="{03C91D25-0FC2-4077-904E-1C7DE6DAFB04}" type="VALUE">
                      <a:rPr lang="en-US" b="1"/>
                      <a:pPr/>
                      <a:t>[VALUE]</a:t>
                    </a:fld>
                    <a:endParaRPr lang="en-IN"/>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4A46-4AAB-9844-FA7AC075855A}"/>
                </c:ext>
              </c:extLst>
            </c:dLbl>
            <c:dLbl>
              <c:idx val="1"/>
              <c:tx>
                <c:rich>
                  <a:bodyPr/>
                  <a:lstStyle/>
                  <a:p>
                    <a:fld id="{B448E05C-59DA-4506-892E-F5C6BD3C7C01}" type="VALUE">
                      <a:rPr lang="en-US" b="1"/>
                      <a:pPr/>
                      <a:t>[VALUE]</a:t>
                    </a:fld>
                    <a:endParaRPr lang="en-IN"/>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4A46-4AAB-9844-FA7AC075855A}"/>
                </c:ext>
              </c:extLst>
            </c:dLbl>
            <c:dLbl>
              <c:idx val="2"/>
              <c:tx>
                <c:rich>
                  <a:bodyPr/>
                  <a:lstStyle/>
                  <a:p>
                    <a:fld id="{E3D85E5C-FB09-4BED-BD37-928C8B2DDEB8}" type="VALUE">
                      <a:rPr lang="en-US" b="1"/>
                      <a:pPr/>
                      <a:t>[VALUE]</a:t>
                    </a:fld>
                    <a:endParaRPr lang="en-IN"/>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4A46-4AAB-9844-FA7AC075855A}"/>
                </c:ext>
              </c:extLst>
            </c:dLbl>
            <c:dLbl>
              <c:idx val="3"/>
              <c:tx>
                <c:rich>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mn-lt"/>
                        <a:ea typeface="+mn-ea"/>
                        <a:cs typeface="+mn-cs"/>
                      </a:defRPr>
                    </a:pPr>
                    <a:fld id="{CB234A59-2CC2-46C2-BCA6-78B0E573F70C}" type="VALUE">
                      <a:rPr lang="en-US" b="1"/>
                      <a:pPr algn="ctr">
                        <a:defRPr lang="en-US"/>
                      </a:pPr>
                      <a:t>[VALUE]</a:t>
                    </a:fld>
                    <a:endParaRPr lang="en-IN"/>
                  </a:p>
                </c:rich>
              </c:tx>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mn-lt"/>
                      <a:ea typeface="+mn-ea"/>
                      <a:cs typeface="+mn-cs"/>
                    </a:defRPr>
                  </a:pPr>
                  <a:endParaRPr lang="en-IN"/>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4A46-4AAB-9844-FA7AC075855A}"/>
                </c:ext>
              </c:extLst>
            </c:dLbl>
            <c:dLbl>
              <c:idx val="4"/>
              <c:tx>
                <c:rich>
                  <a:bodyPr/>
                  <a:lstStyle/>
                  <a:p>
                    <a:fld id="{7CF37142-5AAB-4C74-8218-75AC4657AA60}" type="VALUE">
                      <a:rPr lang="en-US" b="1"/>
                      <a:pPr/>
                      <a:t>[VALUE]</a:t>
                    </a:fld>
                    <a:endParaRPr lang="en-IN"/>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4A46-4AAB-9844-FA7AC075855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tabel'!$F$38:$F$42</c:f>
              <c:strCache>
                <c:ptCount val="5"/>
                <c:pt idx="0">
                  <c:v>R01</c:v>
                </c:pt>
                <c:pt idx="1">
                  <c:v>R02</c:v>
                </c:pt>
                <c:pt idx="2">
                  <c:v>R03</c:v>
                </c:pt>
                <c:pt idx="3">
                  <c:v>R04</c:v>
                </c:pt>
                <c:pt idx="4">
                  <c:v>R05</c:v>
                </c:pt>
              </c:strCache>
            </c:strRef>
          </c:cat>
          <c:val>
            <c:numRef>
              <c:f>'pivot tabel'!$G$38:$G$42</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4A46-4AAB-9844-FA7AC075855A}"/>
            </c:ext>
          </c:extLst>
        </c:ser>
        <c:ser>
          <c:idx val="1"/>
          <c:order val="1"/>
          <c:tx>
            <c:strRef>
              <c:f>'pivot tabel'!$I$37</c:f>
              <c:strCache>
                <c:ptCount val="1"/>
                <c:pt idx="0">
                  <c:v>sel calls</c:v>
                </c:pt>
              </c:strCache>
            </c:strRef>
          </c:tx>
          <c:spPr>
            <a:gradFill>
              <a:gsLst>
                <a:gs pos="0">
                  <a:schemeClr val="accent1">
                    <a:lumMod val="60000"/>
                    <a:lumOff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 tabel'!$I$38:$I$42</c:f>
              <c:numCache>
                <c:formatCode>General</c:formatCode>
                <c:ptCount val="5"/>
                <c:pt idx="0">
                  <c:v>#N/A</c:v>
                </c:pt>
                <c:pt idx="1">
                  <c:v>218</c:v>
                </c:pt>
                <c:pt idx="2">
                  <c:v>#N/A</c:v>
                </c:pt>
                <c:pt idx="3">
                  <c:v>#N/A</c:v>
                </c:pt>
                <c:pt idx="4">
                  <c:v>#N/A</c:v>
                </c:pt>
              </c:numCache>
            </c:numRef>
          </c:val>
          <c:extLst>
            <c:ext xmlns:c16="http://schemas.microsoft.com/office/drawing/2014/chart" uri="{C3380CC4-5D6E-409C-BE32-E72D297353CC}">
              <c16:uniqueId val="{00000011-4A46-4AAB-9844-FA7AC075855A}"/>
            </c:ext>
          </c:extLst>
        </c:ser>
        <c:dLbls>
          <c:dLblPos val="ctr"/>
          <c:showLegendKey val="0"/>
          <c:showVal val="1"/>
          <c:showCatName val="0"/>
          <c:showSerName val="0"/>
          <c:showPercent val="0"/>
          <c:showBubbleSize val="0"/>
        </c:dLbls>
        <c:gapWidth val="150"/>
        <c:overlap val="100"/>
        <c:axId val="992264640"/>
        <c:axId val="992256000"/>
      </c:barChart>
      <c:catAx>
        <c:axId val="9922646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256000"/>
        <c:crosses val="autoZero"/>
        <c:auto val="1"/>
        <c:lblAlgn val="ctr"/>
        <c:lblOffset val="100"/>
        <c:noMultiLvlLbl val="0"/>
      </c:catAx>
      <c:valAx>
        <c:axId val="992256000"/>
        <c:scaling>
          <c:orientation val="minMax"/>
        </c:scaling>
        <c:delete val="1"/>
        <c:axPos val="b"/>
        <c:numFmt formatCode="General" sourceLinked="1"/>
        <c:majorTickMark val="none"/>
        <c:minorTickMark val="none"/>
        <c:tickLblPos val="nextTo"/>
        <c:crossAx val="992264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[customer_call_analysis.xlsx]pivot tabel!PivotTable3</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 </a:t>
            </a:r>
            <a:r>
              <a:rPr lang="en-IN">
                <a:solidFill>
                  <a:schemeClr val="accent2">
                    <a:lumMod val="50000"/>
                  </a:schemeClr>
                </a:solidFill>
              </a:rPr>
              <a:t>Call Trend</a:t>
            </a:r>
          </a:p>
        </c:rich>
      </c:tx>
      <c:layout>
        <c:manualLayout>
          <c:xMode val="edge"/>
          <c:yMode val="edge"/>
          <c:x val="2.9287863194400139E-2"/>
          <c:y val="3.808918267212111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rgbClr val="00B050"/>
              </a:gs>
              <a:gs pos="74000">
                <a:schemeClr val="accent1">
                  <a:lumMod val="40000"/>
                  <a:lumOff val="60000"/>
                </a:schemeClr>
              </a:gs>
              <a:gs pos="83000">
                <a:schemeClr val="accent1">
                  <a:lumMod val="40000"/>
                  <a:lumOff val="60000"/>
                </a:schemeClr>
              </a:gs>
              <a:gs pos="100000">
                <a:schemeClr val="accent1">
                  <a:lumMod val="20000"/>
                  <a:lumOff val="8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7"/>
          <c:spPr>
            <a:solidFill>
              <a:schemeClr val="bg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796059903832576E-2"/>
          <c:y val="0.23377260857916352"/>
          <c:w val="0.85966729377964368"/>
          <c:h val="0.61874777563172056"/>
        </c:manualLayout>
      </c:layout>
      <c:areaChart>
        <c:grouping val="standard"/>
        <c:varyColors val="0"/>
        <c:ser>
          <c:idx val="1"/>
          <c:order val="1"/>
          <c:tx>
            <c:strRef>
              <c:f>'pivot tabel'!$C$18</c:f>
              <c:strCache>
                <c:ptCount val="1"/>
                <c:pt idx="0">
                  <c:v>Call Count2</c:v>
                </c:pt>
              </c:strCache>
            </c:strRef>
          </c:tx>
          <c:spPr>
            <a:gradFill>
              <a:gsLst>
                <a:gs pos="0">
                  <a:srgbClr val="00B050"/>
                </a:gs>
                <a:gs pos="74000">
                  <a:schemeClr val="accent1">
                    <a:lumMod val="40000"/>
                    <a:lumOff val="60000"/>
                  </a:schemeClr>
                </a:gs>
                <a:gs pos="83000">
                  <a:schemeClr val="accent1">
                    <a:lumMod val="40000"/>
                    <a:lumOff val="60000"/>
                  </a:schemeClr>
                </a:gs>
                <a:gs pos="100000">
                  <a:schemeClr val="accent1">
                    <a:lumMod val="20000"/>
                    <a:lumOff val="80000"/>
                  </a:schemeClr>
                </a:gs>
              </a:gsLst>
              <a:lin ang="5400000" scaled="1"/>
            </a:gradFill>
            <a:ln>
              <a:noFill/>
            </a:ln>
            <a:effectLst/>
          </c:spPr>
          <c:cat>
            <c:strRef>
              <c:f>'pivot tabel'!$A$19:$A$31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tabel'!$C$19:$C$31</c:f>
              <c:numCache>
                <c:formatCode>#,##0</c:formatCode>
                <c:ptCount val="12"/>
                <c:pt idx="0">
                  <c:v>19</c:v>
                </c:pt>
                <c:pt idx="1">
                  <c:v>10</c:v>
                </c:pt>
                <c:pt idx="2">
                  <c:v>40</c:v>
                </c:pt>
                <c:pt idx="3">
                  <c:v>40</c:v>
                </c:pt>
                <c:pt idx="4">
                  <c:v>13</c:v>
                </c:pt>
                <c:pt idx="5">
                  <c:v>12</c:v>
                </c:pt>
                <c:pt idx="6">
                  <c:v>9</c:v>
                </c:pt>
                <c:pt idx="7">
                  <c:v>13</c:v>
                </c:pt>
                <c:pt idx="8">
                  <c:v>18</c:v>
                </c:pt>
                <c:pt idx="9">
                  <c:v>21</c:v>
                </c:pt>
                <c:pt idx="10">
                  <c:v>14</c:v>
                </c:pt>
                <c:pt idx="11">
                  <c:v>9</c:v>
                </c:pt>
              </c:numCache>
            </c:numRef>
          </c:val>
          <c:extLst>
            <c:ext xmlns:c16="http://schemas.microsoft.com/office/drawing/2014/chart" uri="{C3380CC4-5D6E-409C-BE32-E72D297353CC}">
              <c16:uniqueId val="{00000000-542B-4F9D-9BF7-7EB91035C282}"/>
            </c:ext>
          </c:extLst>
        </c:ser>
        <c:dLbls>
          <c:showLegendKey val="0"/>
          <c:showVal val="0"/>
          <c:showCatName val="0"/>
          <c:showSerName val="0"/>
          <c:showPercent val="0"/>
          <c:showBubbleSize val="0"/>
        </c:dLbls>
        <c:axId val="1163315487"/>
        <c:axId val="1163314527"/>
      </c:areaChart>
      <c:lineChart>
        <c:grouping val="standard"/>
        <c:varyColors val="0"/>
        <c:ser>
          <c:idx val="0"/>
          <c:order val="0"/>
          <c:tx>
            <c:strRef>
              <c:f>'pivot tabel'!$B$18</c:f>
              <c:strCache>
                <c:ptCount val="1"/>
                <c:pt idx="0">
                  <c:v>Call Count</c:v>
                </c:pt>
              </c:strCache>
            </c:strRef>
          </c:tx>
          <c:spPr>
            <a:ln w="28575" cap="rnd">
              <a:solidFill>
                <a:schemeClr val="accent1"/>
              </a:solidFill>
              <a:round/>
            </a:ln>
            <a:effectLst/>
          </c:spPr>
          <c:marker>
            <c:symbol val="circle"/>
            <c:size val="7"/>
            <c:spPr>
              <a:solidFill>
                <a:schemeClr val="bg1"/>
              </a:solidFill>
              <a:ln w="9525">
                <a:solidFill>
                  <a:schemeClr val="accent1"/>
                </a:solidFill>
              </a:ln>
              <a:effectLst/>
            </c:spPr>
          </c:marker>
          <c:cat>
            <c:strRef>
              <c:f>'pivot tabel'!$A$19:$A$31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tabel'!$B$19:$B$31</c:f>
              <c:numCache>
                <c:formatCode>#,##0</c:formatCode>
                <c:ptCount val="12"/>
                <c:pt idx="0">
                  <c:v>19</c:v>
                </c:pt>
                <c:pt idx="1">
                  <c:v>10</c:v>
                </c:pt>
                <c:pt idx="2">
                  <c:v>40</c:v>
                </c:pt>
                <c:pt idx="3">
                  <c:v>40</c:v>
                </c:pt>
                <c:pt idx="4">
                  <c:v>13</c:v>
                </c:pt>
                <c:pt idx="5">
                  <c:v>12</c:v>
                </c:pt>
                <c:pt idx="6">
                  <c:v>9</c:v>
                </c:pt>
                <c:pt idx="7">
                  <c:v>13</c:v>
                </c:pt>
                <c:pt idx="8">
                  <c:v>18</c:v>
                </c:pt>
                <c:pt idx="9">
                  <c:v>21</c:v>
                </c:pt>
                <c:pt idx="10">
                  <c:v>14</c:v>
                </c:pt>
                <c:pt idx="11">
                  <c:v>9</c:v>
                </c:pt>
              </c:numCache>
            </c:numRef>
          </c:val>
          <c:smooth val="0"/>
          <c:extLst>
            <c:ext xmlns:c16="http://schemas.microsoft.com/office/drawing/2014/chart" uri="{C3380CC4-5D6E-409C-BE32-E72D297353CC}">
              <c16:uniqueId val="{00000001-542B-4F9D-9BF7-7EB91035C282}"/>
            </c:ext>
          </c:extLst>
        </c:ser>
        <c:dLbls>
          <c:showLegendKey val="0"/>
          <c:showVal val="0"/>
          <c:showCatName val="0"/>
          <c:showSerName val="0"/>
          <c:showPercent val="0"/>
          <c:showBubbleSize val="0"/>
        </c:dLbls>
        <c:marker val="1"/>
        <c:smooth val="0"/>
        <c:axId val="1163315487"/>
        <c:axId val="1163314527"/>
      </c:lineChart>
      <c:catAx>
        <c:axId val="1163315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3314527"/>
        <c:crosses val="autoZero"/>
        <c:auto val="1"/>
        <c:lblAlgn val="ctr"/>
        <c:lblOffset val="100"/>
        <c:noMultiLvlLbl val="0"/>
      </c:catAx>
      <c:valAx>
        <c:axId val="11633145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3315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[customer_call_analysis.xlsx]pivot tabel!PivotTable4</c:name>
    <c:fmtId val="30"/>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00B05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49645577562292686"/>
          <c:y val="8.6217974362517977E-2"/>
          <c:w val="0.45131787809466067"/>
          <c:h val="0.86451461171604316"/>
        </c:manualLayout>
      </c:layout>
      <c:bar3DChart>
        <c:barDir val="bar"/>
        <c:grouping val="clustered"/>
        <c:varyColors val="0"/>
        <c:ser>
          <c:idx val="0"/>
          <c:order val="0"/>
          <c:tx>
            <c:strRef>
              <c:f>'pivot tabel'!$G$18</c:f>
              <c:strCache>
                <c:ptCount val="1"/>
                <c:pt idx="0">
                  <c:v>Total</c:v>
                </c:pt>
              </c:strCache>
            </c:strRef>
          </c:tx>
          <c:spPr>
            <a:gradFill>
              <a:gsLst>
                <a:gs pos="0">
                  <a:srgbClr val="00B05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tabel'!$F$19:$F$26</c:f>
              <c:strCache>
                <c:ptCount val="7"/>
                <c:pt idx="0">
                  <c:v>Sunday</c:v>
                </c:pt>
                <c:pt idx="1">
                  <c:v>Monday</c:v>
                </c:pt>
                <c:pt idx="2">
                  <c:v>Tuesday</c:v>
                </c:pt>
                <c:pt idx="3">
                  <c:v>Wednesday</c:v>
                </c:pt>
                <c:pt idx="4">
                  <c:v>Thursday</c:v>
                </c:pt>
                <c:pt idx="5">
                  <c:v>Friday</c:v>
                </c:pt>
                <c:pt idx="6">
                  <c:v>Saturday</c:v>
                </c:pt>
              </c:strCache>
            </c:strRef>
          </c:cat>
          <c:val>
            <c:numRef>
              <c:f>'pivot tabel'!$G$19:$G$26</c:f>
              <c:numCache>
                <c:formatCode>#,##0</c:formatCode>
                <c:ptCount val="7"/>
                <c:pt idx="0">
                  <c:v>28</c:v>
                </c:pt>
                <c:pt idx="1">
                  <c:v>24</c:v>
                </c:pt>
                <c:pt idx="2">
                  <c:v>44</c:v>
                </c:pt>
                <c:pt idx="3">
                  <c:v>36</c:v>
                </c:pt>
                <c:pt idx="4">
                  <c:v>33</c:v>
                </c:pt>
                <c:pt idx="5">
                  <c:v>29</c:v>
                </c:pt>
                <c:pt idx="6">
                  <c:v>24</c:v>
                </c:pt>
              </c:numCache>
            </c:numRef>
          </c:val>
          <c:extLst>
            <c:ext xmlns:c16="http://schemas.microsoft.com/office/drawing/2014/chart" uri="{C3380CC4-5D6E-409C-BE32-E72D297353CC}">
              <c16:uniqueId val="{00000000-71AF-4508-815C-F4BE71638921}"/>
            </c:ext>
          </c:extLst>
        </c:ser>
        <c:dLbls>
          <c:showLegendKey val="0"/>
          <c:showVal val="1"/>
          <c:showCatName val="0"/>
          <c:showSerName val="0"/>
          <c:showPercent val="0"/>
          <c:showBubbleSize val="0"/>
        </c:dLbls>
        <c:gapWidth val="150"/>
        <c:shape val="box"/>
        <c:axId val="2116455424"/>
        <c:axId val="2116460224"/>
        <c:axId val="0"/>
      </c:bar3DChart>
      <c:catAx>
        <c:axId val="211645542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6460224"/>
        <c:crosses val="autoZero"/>
        <c:auto val="1"/>
        <c:lblAlgn val="ctr"/>
        <c:lblOffset val="100"/>
        <c:noMultiLvlLbl val="0"/>
      </c:catAx>
      <c:valAx>
        <c:axId val="2116460224"/>
        <c:scaling>
          <c:orientation val="minMax"/>
        </c:scaling>
        <c:delete val="1"/>
        <c:axPos val="b"/>
        <c:numFmt formatCode="#,##0" sourceLinked="1"/>
        <c:majorTickMark val="out"/>
        <c:minorTickMark val="none"/>
        <c:tickLblPos val="nextTo"/>
        <c:crossAx val="2116455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 </a:t>
            </a:r>
            <a:r>
              <a:rPr lang="en-IN">
                <a:solidFill>
                  <a:schemeClr val="accent1">
                    <a:lumMod val="50000"/>
                  </a:schemeClr>
                </a:solidFill>
              </a:rPr>
              <a:t>Amount</a:t>
            </a:r>
          </a:p>
        </c:rich>
      </c:tx>
      <c:layout>
        <c:manualLayout>
          <c:xMode val="edge"/>
          <c:yMode val="edge"/>
          <c:x val="4.151540013226597E-2"/>
          <c:y val="3.2406000074355783E-2"/>
        </c:manualLayout>
      </c:layout>
      <c:overlay val="0"/>
      <c:spPr>
        <a:noFill/>
        <a:ln>
          <a:noFill/>
        </a:ln>
        <a:effectLst/>
      </c:spPr>
    </c:title>
    <c:autoTitleDeleted val="0"/>
    <c:plotArea>
      <c:layout>
        <c:manualLayout>
          <c:layoutTarget val="inner"/>
          <c:xMode val="edge"/>
          <c:yMode val="edge"/>
          <c:x val="0.14048904220415209"/>
          <c:y val="0.16583467064750887"/>
          <c:w val="0.85137508363873804"/>
          <c:h val="0.77861731775360976"/>
        </c:manualLayout>
      </c:layout>
      <c:barChart>
        <c:barDir val="bar"/>
        <c:grouping val="stacked"/>
        <c:varyColors val="0"/>
        <c:ser>
          <c:idx val="1"/>
          <c:order val="0"/>
          <c:spPr>
            <a:solidFill>
              <a:schemeClr val="bg2"/>
            </a:solidFill>
          </c:spPr>
          <c:invertIfNegative val="0"/>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tabel'!$F$38:$F$42</c:f>
              <c:strCache>
                <c:ptCount val="5"/>
                <c:pt idx="0">
                  <c:v>R01</c:v>
                </c:pt>
                <c:pt idx="1">
                  <c:v>R02</c:v>
                </c:pt>
                <c:pt idx="2">
                  <c:v>R03</c:v>
                </c:pt>
                <c:pt idx="3">
                  <c:v>R04</c:v>
                </c:pt>
                <c:pt idx="4">
                  <c:v>R05</c:v>
                </c:pt>
              </c:strCache>
            </c:strRef>
          </c:cat>
          <c:val>
            <c:numRef>
              <c:f>'pivot tabel'!$H$38:$H$42</c:f>
              <c:numCache>
                <c:formatCode>"₹"\ #,##0</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2866-4115-B8F4-EFB06E09D2D7}"/>
            </c:ext>
          </c:extLst>
        </c:ser>
        <c:ser>
          <c:idx val="0"/>
          <c:order val="1"/>
          <c:tx>
            <c:strRef>
              <c:f>'pivot tabel'!$J$37</c:f>
              <c:strCache>
                <c:ptCount val="1"/>
                <c:pt idx="0">
                  <c:v>sel amt</c:v>
                </c:pt>
              </c:strCache>
            </c:strRef>
          </c:tx>
          <c:spPr>
            <a:gradFill>
              <a:gsLst>
                <a:gs pos="0">
                  <a:schemeClr val="accent4">
                    <a:lumMod val="60000"/>
                    <a:lumOff val="40000"/>
                  </a:schemeClr>
                </a:gs>
                <a:gs pos="74000">
                  <a:schemeClr val="accent4">
                    <a:lumMod val="20000"/>
                    <a:lumOff val="80000"/>
                  </a:schemeClr>
                </a:gs>
                <a:gs pos="83000">
                  <a:schemeClr val="accent4">
                    <a:lumMod val="20000"/>
                    <a:lumOff val="80000"/>
                  </a:schemeClr>
                </a:gs>
                <a:gs pos="100000">
                  <a:schemeClr val="accent4">
                    <a:lumMod val="20000"/>
                    <a:lumOff val="80000"/>
                  </a:schemeClr>
                </a:gs>
              </a:gsLst>
              <a:lin ang="5400000" scaled="1"/>
            </a:gradFill>
          </c:spPr>
          <c:invertIfNegative val="0"/>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'pivot tabel'!$J$38:$J$42</c:f>
              <c:numCache>
                <c:formatCode>General</c:formatCode>
                <c:ptCount val="5"/>
                <c:pt idx="0">
                  <c:v>#N/A</c:v>
                </c:pt>
                <c:pt idx="1">
                  <c:v>20581</c:v>
                </c:pt>
                <c:pt idx="2">
                  <c:v>#N/A</c:v>
                </c:pt>
                <c:pt idx="3">
                  <c:v>#N/A</c:v>
                </c:pt>
                <c:pt idx="4">
                  <c:v>#N/A</c:v>
                </c:pt>
              </c:numCache>
            </c:numRef>
          </c:val>
          <c:extLst>
            <c:ext xmlns:c16="http://schemas.microsoft.com/office/drawing/2014/chart" uri="{C3380CC4-5D6E-409C-BE32-E72D297353CC}">
              <c16:uniqueId val="{00000001-2866-4115-B8F4-EFB06E09D2D7}"/>
            </c:ext>
          </c:extLst>
        </c:ser>
        <c:dLbls>
          <c:dLblPos val="ctr"/>
          <c:showLegendKey val="0"/>
          <c:showVal val="1"/>
          <c:showCatName val="0"/>
          <c:showSerName val="0"/>
          <c:showPercent val="0"/>
          <c:showBubbleSize val="0"/>
        </c:dLbls>
        <c:gapWidth val="20"/>
        <c:overlap val="100"/>
        <c:axId val="992264640"/>
        <c:axId val="992256000"/>
      </c:barChart>
      <c:catAx>
        <c:axId val="9922646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256000"/>
        <c:crosses val="autoZero"/>
        <c:auto val="1"/>
        <c:lblAlgn val="ctr"/>
        <c:lblOffset val="100"/>
        <c:noMultiLvlLbl val="0"/>
      </c:catAx>
      <c:valAx>
        <c:axId val="992256000"/>
        <c:scaling>
          <c:orientation val="minMax"/>
        </c:scaling>
        <c:delete val="1"/>
        <c:axPos val="b"/>
        <c:numFmt formatCode="&quot;₹&quot;\ #,##0" sourceLinked="1"/>
        <c:majorTickMark val="none"/>
        <c:minorTickMark val="none"/>
        <c:tickLblPos val="nextTo"/>
        <c:crossAx val="992264640"/>
        <c:crosses val="autoZero"/>
        <c:crossBetween val="between"/>
      </c:valAx>
    </c:plotArea>
    <c:plotVisOnly val="1"/>
    <c:dispBlanksAs val="gap"/>
    <c:showDLblsOverMax val="0"/>
    <c:extLst/>
  </c:chart>
  <c:spPr>
    <a:ln>
      <a:noFill/>
    </a:ln>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accent1">
                    <a:lumMod val="50000"/>
                  </a:schemeClr>
                </a:solidFill>
              </a:rPr>
              <a:t>Calls</a:t>
            </a:r>
          </a:p>
        </c:rich>
      </c:tx>
      <c:layout>
        <c:manualLayout>
          <c:xMode val="edge"/>
          <c:yMode val="edge"/>
          <c:x val="3.3384116002881402E-2"/>
          <c:y val="2.264487100803910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7447949392828666"/>
          <c:y val="0.13661926313648151"/>
          <c:w val="0.76435017801572569"/>
          <c:h val="0.78092831472443003"/>
        </c:manualLayout>
      </c:layout>
      <c:barChart>
        <c:barDir val="bar"/>
        <c:grouping val="stacked"/>
        <c:varyColors val="0"/>
        <c:ser>
          <c:idx val="0"/>
          <c:order val="0"/>
          <c:spPr>
            <a:solidFill>
              <a:schemeClr val="bg2"/>
            </a:solidFill>
            <a:ln>
              <a:noFill/>
            </a:ln>
            <a:effectLst/>
          </c:spPr>
          <c:invertIfNegative val="0"/>
          <c:dLbls>
            <c:dLbl>
              <c:idx val="0"/>
              <c:tx>
                <c:rich>
                  <a:bodyPr/>
                  <a:lstStyle/>
                  <a:p>
                    <a:r>
                      <a:rPr lang="en-US" b="1"/>
                      <a:t>189</a:t>
                    </a:r>
                    <a:endParaRPr lang="en-US"/>
                  </a:p>
                </c:rich>
              </c:tx>
              <c:dLblPos val="ct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8BD9-48EA-A5CA-5A0BF752F652}"/>
                </c:ext>
              </c:extLst>
            </c:dLbl>
            <c:dLbl>
              <c:idx val="1"/>
              <c:tx>
                <c:rich>
                  <a:bodyPr/>
                  <a:lstStyle/>
                  <a:p>
                    <a:r>
                      <a:rPr lang="en-US" b="1"/>
                      <a:t>218</a:t>
                    </a:r>
                    <a:endParaRPr lang="en-US"/>
                  </a:p>
                </c:rich>
              </c:tx>
              <c:dLblPos val="ct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8BD9-48EA-A5CA-5A0BF752F652}"/>
                </c:ext>
              </c:extLst>
            </c:dLbl>
            <c:dLbl>
              <c:idx val="2"/>
              <c:tx>
                <c:rich>
                  <a:bodyPr/>
                  <a:lstStyle/>
                  <a:p>
                    <a:r>
                      <a:rPr lang="en-US" b="1"/>
                      <a:t>207</a:t>
                    </a:r>
                    <a:endParaRPr lang="en-US"/>
                  </a:p>
                </c:rich>
              </c:tx>
              <c:dLblPos val="ct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8BD9-48EA-A5CA-5A0BF752F652}"/>
                </c:ext>
              </c:extLst>
            </c:dLbl>
            <c:dLbl>
              <c:idx val="3"/>
              <c:tx>
                <c:rich>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mn-lt"/>
                        <a:ea typeface="+mn-ea"/>
                        <a:cs typeface="+mn-cs"/>
                      </a:defRPr>
                    </a:pPr>
                    <a:r>
                      <a:rPr lang="en-US" b="1"/>
                      <a:t>186</a:t>
                    </a:r>
                    <a:endParaRPr lang="en-US"/>
                  </a:p>
                </c:rich>
              </c:tx>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8BD9-48EA-A5CA-5A0BF752F652}"/>
                </c:ext>
              </c:extLst>
            </c:dLbl>
            <c:dLbl>
              <c:idx val="4"/>
              <c:tx>
                <c:rich>
                  <a:bodyPr/>
                  <a:lstStyle/>
                  <a:p>
                    <a:r>
                      <a:rPr lang="en-US" b="1"/>
                      <a:t>200</a:t>
                    </a:r>
                    <a:endParaRPr lang="en-US"/>
                  </a:p>
                </c:rich>
              </c:tx>
              <c:dLblPos val="ct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8BD9-48EA-A5CA-5A0BF752F65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tabel'!$F$38:$F$42</c:f>
              <c:strCache>
                <c:ptCount val="5"/>
                <c:pt idx="0">
                  <c:v>R01</c:v>
                </c:pt>
                <c:pt idx="1">
                  <c:v>R02</c:v>
                </c:pt>
                <c:pt idx="2">
                  <c:v>R03</c:v>
                </c:pt>
                <c:pt idx="3">
                  <c:v>R04</c:v>
                </c:pt>
                <c:pt idx="4">
                  <c:v>R05</c:v>
                </c:pt>
              </c:strCache>
            </c:strRef>
          </c:cat>
          <c:val>
            <c:numRef>
              <c:f>'pivot tabel'!$G$38:$G$42</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5-8BD9-48EA-A5CA-5A0BF752F652}"/>
            </c:ext>
          </c:extLst>
        </c:ser>
        <c:ser>
          <c:idx val="1"/>
          <c:order val="1"/>
          <c:tx>
            <c:strRef>
              <c:f>'pivot tabel'!$I$37</c:f>
              <c:strCache>
                <c:ptCount val="1"/>
                <c:pt idx="0">
                  <c:v>sel calls</c:v>
                </c:pt>
              </c:strCache>
            </c:strRef>
          </c:tx>
          <c:spPr>
            <a:gradFill>
              <a:gsLst>
                <a:gs pos="0">
                  <a:srgbClr val="00B05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 tabel'!$I$38:$I$42</c:f>
              <c:numCache>
                <c:formatCode>General</c:formatCode>
                <c:ptCount val="5"/>
                <c:pt idx="0">
                  <c:v>#N/A</c:v>
                </c:pt>
                <c:pt idx="1">
                  <c:v>218</c:v>
                </c:pt>
                <c:pt idx="2">
                  <c:v>#N/A</c:v>
                </c:pt>
                <c:pt idx="3">
                  <c:v>#N/A</c:v>
                </c:pt>
                <c:pt idx="4">
                  <c:v>#N/A</c:v>
                </c:pt>
              </c:numCache>
            </c:numRef>
          </c:val>
          <c:extLst>
            <c:ext xmlns:c16="http://schemas.microsoft.com/office/drawing/2014/chart" uri="{C3380CC4-5D6E-409C-BE32-E72D297353CC}">
              <c16:uniqueId val="{00000006-8BD9-48EA-A5CA-5A0BF752F652}"/>
            </c:ext>
          </c:extLst>
        </c:ser>
        <c:dLbls>
          <c:dLblPos val="ctr"/>
          <c:showLegendKey val="0"/>
          <c:showVal val="1"/>
          <c:showCatName val="0"/>
          <c:showSerName val="0"/>
          <c:showPercent val="0"/>
          <c:showBubbleSize val="0"/>
        </c:dLbls>
        <c:gapWidth val="20"/>
        <c:overlap val="100"/>
        <c:axId val="992264640"/>
        <c:axId val="992256000"/>
      </c:barChart>
      <c:catAx>
        <c:axId val="9922646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256000"/>
        <c:crosses val="autoZero"/>
        <c:auto val="1"/>
        <c:lblAlgn val="ctr"/>
        <c:lblOffset val="100"/>
        <c:noMultiLvlLbl val="0"/>
      </c:catAx>
      <c:valAx>
        <c:axId val="992256000"/>
        <c:scaling>
          <c:orientation val="minMax"/>
        </c:scaling>
        <c:delete val="1"/>
        <c:axPos val="b"/>
        <c:numFmt formatCode="General" sourceLinked="1"/>
        <c:majorTickMark val="none"/>
        <c:minorTickMark val="none"/>
        <c:tickLblPos val="nextTo"/>
        <c:crossAx val="992264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[customer_call_analysis.xlsx]pivot tabel!PivotTable7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rgbClr val="00B050"/>
                </a:solidFill>
              </a:rPr>
              <a:t>Female</a:t>
            </a:r>
            <a:r>
              <a:rPr lang="en-IN" baseline="0"/>
              <a:t> VS </a:t>
            </a:r>
            <a:r>
              <a:rPr lang="en-IN" baseline="0">
                <a:solidFill>
                  <a:schemeClr val="accent4">
                    <a:lumMod val="60000"/>
                    <a:lumOff val="40000"/>
                  </a:schemeClr>
                </a:solidFill>
              </a:rPr>
              <a:t>Male</a:t>
            </a:r>
            <a:r>
              <a:rPr lang="en-IN" baseline="0"/>
              <a:t> Callers</a:t>
            </a:r>
            <a:endParaRPr lang="en-IN"/>
          </a:p>
        </c:rich>
      </c:tx>
      <c:layout>
        <c:manualLayout>
          <c:xMode val="edge"/>
          <c:yMode val="edge"/>
          <c:x val="0.21139461435014373"/>
          <c:y val="9.642859854572512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050"/>
          </a:solidFill>
          <a:ln>
            <a:noFill/>
          </a:ln>
          <a:effectLst/>
        </c:spPr>
        <c:marker>
          <c:symbol val="none"/>
        </c:marker>
        <c:dLbl>
          <c:idx val="0"/>
          <c:spPr>
            <a:solidFill>
              <a:schemeClr val="accent1">
                <a:lumMod val="40000"/>
                <a:lumOff val="6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8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
        <c:spPr>
          <a:solidFill>
            <a:schemeClr val="accent4">
              <a:lumMod val="40000"/>
              <a:lumOff val="60000"/>
            </a:schemeClr>
          </a:solidFill>
          <a:ln>
            <a:noFill/>
          </a:ln>
          <a:effectLst/>
        </c:spPr>
        <c:marker>
          <c:symbol val="none"/>
        </c:marker>
        <c:dLbl>
          <c:idx val="0"/>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40000"/>
              <a:lumOff val="60000"/>
            </a:schemeClr>
          </a:solidFill>
          <a:ln>
            <a:noFill/>
          </a:ln>
          <a:effectLst/>
        </c:spPr>
      </c:pivotFmt>
      <c:pivotFmt>
        <c:idx val="7"/>
        <c:spPr>
          <a:solidFill>
            <a:schemeClr val="accent4">
              <a:lumMod val="40000"/>
              <a:lumOff val="60000"/>
            </a:schemeClr>
          </a:solidFill>
          <a:ln>
            <a:noFill/>
          </a:ln>
          <a:effectLst/>
        </c:spPr>
      </c:pivotFmt>
      <c:pivotFmt>
        <c:idx val="8"/>
        <c:spPr>
          <a:solidFill>
            <a:schemeClr val="accent4">
              <a:lumMod val="40000"/>
              <a:lumOff val="60000"/>
            </a:schemeClr>
          </a:solidFill>
          <a:ln>
            <a:noFill/>
          </a:ln>
          <a:effectLst/>
        </c:spPr>
      </c:pivotFmt>
    </c:pivotFmts>
    <c:plotArea>
      <c:layout>
        <c:manualLayout>
          <c:layoutTarget val="inner"/>
          <c:xMode val="edge"/>
          <c:yMode val="edge"/>
          <c:x val="4.7712388221051116E-2"/>
          <c:y val="0.19246002454301225"/>
          <c:w val="0.91252728826140628"/>
          <c:h val="0.6773617573169014"/>
        </c:manualLayout>
      </c:layout>
      <c:barChart>
        <c:barDir val="col"/>
        <c:grouping val="stacked"/>
        <c:varyColors val="0"/>
        <c:ser>
          <c:idx val="0"/>
          <c:order val="0"/>
          <c:tx>
            <c:strRef>
              <c:f>'pivot tabel'!$B$64:$B$65</c:f>
              <c:strCache>
                <c:ptCount val="1"/>
                <c:pt idx="0">
                  <c:v>Female</c:v>
                </c:pt>
              </c:strCache>
            </c:strRef>
          </c:tx>
          <c:spPr>
            <a:solidFill>
              <a:srgbClr val="00B050"/>
            </a:solidFill>
            <a:ln>
              <a:noFill/>
            </a:ln>
            <a:effectLst/>
          </c:spPr>
          <c:invertIfNegative val="0"/>
          <c:dLbls>
            <c:spPr>
              <a:solidFill>
                <a:schemeClr val="accent1">
                  <a:lumMod val="40000"/>
                  <a:lumOff val="6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8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 tabel'!$A$66:$A$69</c:f>
              <c:strCache>
                <c:ptCount val="3"/>
                <c:pt idx="0">
                  <c:v>Cincinnati</c:v>
                </c:pt>
                <c:pt idx="1">
                  <c:v>Cleveland</c:v>
                </c:pt>
                <c:pt idx="2">
                  <c:v>Columbus</c:v>
                </c:pt>
              </c:strCache>
            </c:strRef>
          </c:cat>
          <c:val>
            <c:numRef>
              <c:f>'pivot tabel'!$B$66:$B$69</c:f>
              <c:numCache>
                <c:formatCode>#,##0</c:formatCode>
                <c:ptCount val="3"/>
                <c:pt idx="0">
                  <c:v>144</c:v>
                </c:pt>
                <c:pt idx="1">
                  <c:v>326</c:v>
                </c:pt>
                <c:pt idx="2">
                  <c:v>129</c:v>
                </c:pt>
              </c:numCache>
            </c:numRef>
          </c:val>
          <c:extLst>
            <c:ext xmlns:c16="http://schemas.microsoft.com/office/drawing/2014/chart" uri="{C3380CC4-5D6E-409C-BE32-E72D297353CC}">
              <c16:uniqueId val="{00000000-2218-4691-BD2F-4B48D6075D90}"/>
            </c:ext>
          </c:extLst>
        </c:ser>
        <c:ser>
          <c:idx val="1"/>
          <c:order val="1"/>
          <c:tx>
            <c:strRef>
              <c:f>'pivot tabel'!$C$64:$C$65</c:f>
              <c:strCache>
                <c:ptCount val="1"/>
                <c:pt idx="0">
                  <c:v>Male</c:v>
                </c:pt>
              </c:strCache>
            </c:strRef>
          </c:tx>
          <c:spPr>
            <a:solidFill>
              <a:schemeClr val="accent4">
                <a:lumMod val="40000"/>
                <a:lumOff val="60000"/>
              </a:schemeClr>
            </a:solidFill>
            <a:ln>
              <a:noFill/>
            </a:ln>
            <a:effectLst/>
          </c:spPr>
          <c:invertIfNegative val="0"/>
          <c:dLbls>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tabel'!$A$66:$A$69</c:f>
              <c:strCache>
                <c:ptCount val="3"/>
                <c:pt idx="0">
                  <c:v>Cincinnati</c:v>
                </c:pt>
                <c:pt idx="1">
                  <c:v>Cleveland</c:v>
                </c:pt>
                <c:pt idx="2">
                  <c:v>Columbus</c:v>
                </c:pt>
              </c:strCache>
            </c:strRef>
          </c:cat>
          <c:val>
            <c:numRef>
              <c:f>'pivot tabel'!$C$66:$C$69</c:f>
              <c:numCache>
                <c:formatCode>#,##0</c:formatCode>
                <c:ptCount val="3"/>
                <c:pt idx="0">
                  <c:v>132</c:v>
                </c:pt>
                <c:pt idx="1">
                  <c:v>63</c:v>
                </c:pt>
                <c:pt idx="2">
                  <c:v>206</c:v>
                </c:pt>
              </c:numCache>
            </c:numRef>
          </c:val>
          <c:extLst>
            <c:ext xmlns:c16="http://schemas.microsoft.com/office/drawing/2014/chart" uri="{C3380CC4-5D6E-409C-BE32-E72D297353CC}">
              <c16:uniqueId val="{00000001-2218-4691-BD2F-4B48D6075D90}"/>
            </c:ext>
          </c:extLst>
        </c:ser>
        <c:dLbls>
          <c:dLblPos val="ctr"/>
          <c:showLegendKey val="0"/>
          <c:showVal val="1"/>
          <c:showCatName val="0"/>
          <c:showSerName val="0"/>
          <c:showPercent val="0"/>
          <c:showBubbleSize val="0"/>
        </c:dLbls>
        <c:gapWidth val="60"/>
        <c:overlap val="100"/>
        <c:axId val="1443857039"/>
        <c:axId val="1443862319"/>
      </c:barChart>
      <c:catAx>
        <c:axId val="1443857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3862319"/>
        <c:crosses val="autoZero"/>
        <c:auto val="1"/>
        <c:lblAlgn val="ctr"/>
        <c:lblOffset val="100"/>
        <c:noMultiLvlLbl val="0"/>
      </c:catAx>
      <c:valAx>
        <c:axId val="1443862319"/>
        <c:scaling>
          <c:orientation val="minMax"/>
        </c:scaling>
        <c:delete val="1"/>
        <c:axPos val="l"/>
        <c:numFmt formatCode="#,##0" sourceLinked="1"/>
        <c:majorTickMark val="none"/>
        <c:minorTickMark val="none"/>
        <c:tickLblPos val="nextTo"/>
        <c:crossAx val="1443857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[customer_call_analysis.xlsx]pivot tabel!rating</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t>
            </a:r>
            <a:r>
              <a:rPr lang="en-US">
                <a:solidFill>
                  <a:schemeClr val="accent4">
                    <a:lumMod val="75000"/>
                  </a:schemeClr>
                </a:solidFill>
              </a:rPr>
              <a:t>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00B050"/>
              </a:gs>
              <a:gs pos="74000">
                <a:schemeClr val="accent4">
                  <a:lumMod val="20000"/>
                  <a:lumOff val="80000"/>
                </a:schemeClr>
              </a:gs>
              <a:gs pos="83000">
                <a:schemeClr val="accent4">
                  <a:lumMod val="20000"/>
                  <a:lumOff val="80000"/>
                </a:schemeClr>
              </a:gs>
              <a:gs pos="100000">
                <a:schemeClr val="accent4">
                  <a:lumMod val="20000"/>
                  <a:lumOff val="8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tabel'!$B$73</c:f>
              <c:strCache>
                <c:ptCount val="1"/>
                <c:pt idx="0">
                  <c:v>Total</c:v>
                </c:pt>
              </c:strCache>
            </c:strRef>
          </c:tx>
          <c:spPr>
            <a:gradFill>
              <a:gsLst>
                <a:gs pos="0">
                  <a:srgbClr val="00B050"/>
                </a:gs>
                <a:gs pos="74000">
                  <a:schemeClr val="accent4">
                    <a:lumMod val="20000"/>
                    <a:lumOff val="80000"/>
                  </a:schemeClr>
                </a:gs>
                <a:gs pos="83000">
                  <a:schemeClr val="accent4">
                    <a:lumMod val="20000"/>
                    <a:lumOff val="80000"/>
                  </a:schemeClr>
                </a:gs>
                <a:gs pos="100000">
                  <a:schemeClr val="accent4">
                    <a:lumMod val="20000"/>
                    <a:lumOff val="80000"/>
                  </a:schemeClr>
                </a:gs>
              </a:gsLst>
              <a:lin ang="5400000" scaled="1"/>
            </a:gradFill>
            <a:ln>
              <a:noFill/>
            </a:ln>
            <a:effectLst/>
          </c:spPr>
          <c:invertIfNegative val="0"/>
          <c:cat>
            <c:strRef>
              <c:f>'pivot tabel'!$A$74:$A$79</c:f>
              <c:strCache>
                <c:ptCount val="5"/>
                <c:pt idx="0">
                  <c:v>1</c:v>
                </c:pt>
                <c:pt idx="1">
                  <c:v>2</c:v>
                </c:pt>
                <c:pt idx="2">
                  <c:v>3</c:v>
                </c:pt>
                <c:pt idx="3">
                  <c:v>4</c:v>
                </c:pt>
                <c:pt idx="4">
                  <c:v>5</c:v>
                </c:pt>
              </c:strCache>
            </c:strRef>
          </c:cat>
          <c:val>
            <c:numRef>
              <c:f>'pivot tabel'!$B$74:$B$79</c:f>
              <c:numCache>
                <c:formatCode>#,##0</c:formatCode>
                <c:ptCount val="5"/>
                <c:pt idx="0">
                  <c:v>3</c:v>
                </c:pt>
                <c:pt idx="1">
                  <c:v>19</c:v>
                </c:pt>
                <c:pt idx="2">
                  <c:v>35</c:v>
                </c:pt>
                <c:pt idx="3">
                  <c:v>87</c:v>
                </c:pt>
                <c:pt idx="4">
                  <c:v>74</c:v>
                </c:pt>
              </c:numCache>
            </c:numRef>
          </c:val>
          <c:extLst>
            <c:ext xmlns:c16="http://schemas.microsoft.com/office/drawing/2014/chart" uri="{C3380CC4-5D6E-409C-BE32-E72D297353CC}">
              <c16:uniqueId val="{00000000-C0C4-4F52-9DAB-7294928912A3}"/>
            </c:ext>
          </c:extLst>
        </c:ser>
        <c:dLbls>
          <c:showLegendKey val="0"/>
          <c:showVal val="0"/>
          <c:showCatName val="0"/>
          <c:showSerName val="0"/>
          <c:showPercent val="0"/>
          <c:showBubbleSize val="0"/>
        </c:dLbls>
        <c:gapWidth val="20"/>
        <c:overlap val="100"/>
        <c:axId val="1564482191"/>
        <c:axId val="1564498991"/>
      </c:barChart>
      <c:catAx>
        <c:axId val="1564482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4498991"/>
        <c:crosses val="autoZero"/>
        <c:auto val="1"/>
        <c:lblAlgn val="ctr"/>
        <c:lblOffset val="100"/>
        <c:noMultiLvlLbl val="0"/>
      </c:catAx>
      <c:valAx>
        <c:axId val="156449899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4482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9.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8.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7.xml"/><Relationship Id="rId5" Type="http://schemas.openxmlformats.org/officeDocument/2006/relationships/image" Target="../media/image5.png"/><Relationship Id="rId10" Type="http://schemas.openxmlformats.org/officeDocument/2006/relationships/chart" Target="../charts/chart6.xml"/><Relationship Id="rId4" Type="http://schemas.openxmlformats.org/officeDocument/2006/relationships/image" Target="../media/image4.svg"/><Relationship Id="rId9" Type="http://schemas.openxmlformats.org/officeDocument/2006/relationships/chart" Target="../charts/chart5.xml"/><Relationship Id="rId1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506730</xdr:colOff>
      <xdr:row>2</xdr:row>
      <xdr:rowOff>118110</xdr:rowOff>
    </xdr:from>
    <xdr:to>
      <xdr:col>10</xdr:col>
      <xdr:colOff>384810</xdr:colOff>
      <xdr:row>17</xdr:row>
      <xdr:rowOff>118110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60960</xdr:colOff>
      <xdr:row>14</xdr:row>
      <xdr:rowOff>76201</xdr:rowOff>
    </xdr:from>
    <xdr:to>
      <xdr:col>13</xdr:col>
      <xdr:colOff>548640</xdr:colOff>
      <xdr:row>25</xdr:row>
      <xdr:rowOff>114301</xdr:rowOff>
    </xdr:to>
    <mc:AlternateContent xmlns:mc="http://schemas.openxmlformats.org/markup-compatibility/2006" xmlns:a14="http://schemas.microsoft.com/office/drawing/2010/main">
      <mc:Choice Requires="a14">
        <xdr:graphicFrame macro="">
          <xdr:nvGraphicFramePr>
            <xdr:cNvPr id="3" name="Representative 1">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microsoft.com/office/drawing/2010/slicer">
              <sle:slicer xmlns:sle="http://schemas.microsoft.com/office/drawing/2010/slicer" name="Representative 1"/>
            </a:graphicData>
          </a:graphic>
        </xdr:graphicFrame>
      </mc:Choice>
      <mc:Fallback xmlns="">
        <xdr:sp macro="" textlink="">
          <xdr:nvSpPr>
            <xdr:cNvPr id="0" name=""/>
            <xdr:cNvSpPr>
              <a:spLocks noTextEdit="1"/>
            </xdr:cNvSpPr>
          </xdr:nvSpPr>
          <xdr:spPr>
            <a:xfrm>
              <a:off x="8679180" y="2636521"/>
              <a:ext cx="1828800" cy="1965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140970</xdr:colOff>
      <xdr:row>23</xdr:row>
      <xdr:rowOff>19050</xdr:rowOff>
    </xdr:from>
    <xdr:to>
      <xdr:col>10</xdr:col>
      <xdr:colOff>19050</xdr:colOff>
      <xdr:row>38</xdr:row>
      <xdr:rowOff>19050</xdr:rowOff>
    </xdr:to>
    <xdr:graphicFrame macro="">
      <xdr:nvGraphicFramePr>
        <xdr:cNvPr id="4" name="Chart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205740</xdr:colOff>
      <xdr:row>0</xdr:row>
      <xdr:rowOff>152401</xdr:rowOff>
    </xdr:from>
    <xdr:to>
      <xdr:col>6</xdr:col>
      <xdr:colOff>454756</xdr:colOff>
      <xdr:row>11</xdr:row>
      <xdr:rowOff>68580</xdr:rowOff>
    </xdr:to>
    <mc:AlternateContent xmlns:mc="http://schemas.openxmlformats.org/markup-compatibility/2006" xmlns:a14="http://schemas.microsoft.com/office/drawing/2010/main">
      <mc:Choice Requires="a14">
        <xdr:graphicFrame macro="">
          <xdr:nvGraphicFramePr>
            <xdr:cNvPr id="2" name="Representative 2">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microsoft.com/office/drawing/2010/slicer">
              <sle:slicer xmlns:sle="http://schemas.microsoft.com/office/drawing/2010/slicer" name="Representative 2"/>
            </a:graphicData>
          </a:graphic>
        </xdr:graphicFrame>
      </mc:Choice>
      <mc:Fallback xmlns="">
        <xdr:sp macro="" textlink="">
          <xdr:nvSpPr>
            <xdr:cNvPr id="0" name=""/>
            <xdr:cNvSpPr>
              <a:spLocks noTextEdit="1"/>
            </xdr:cNvSpPr>
          </xdr:nvSpPr>
          <xdr:spPr>
            <a:xfrm>
              <a:off x="4720231" y="152401"/>
              <a:ext cx="1291375" cy="18139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488829</xdr:colOff>
      <xdr:row>43</xdr:row>
      <xdr:rowOff>107831</xdr:rowOff>
    </xdr:from>
    <xdr:to>
      <xdr:col>15</xdr:col>
      <xdr:colOff>632604</xdr:colOff>
      <xdr:row>59</xdr:row>
      <xdr:rowOff>90578</xdr:rowOff>
    </xdr:to>
    <xdr:graphicFrame macro="">
      <xdr:nvGraphicFramePr>
        <xdr:cNvPr id="9" name="Chart 8">
          <a:extLst>
            <a:ext uri="{FF2B5EF4-FFF2-40B4-BE49-F238E27FC236}">
              <a16:creationId xmlns:a16="http://schemas.microsoft.com/office/drawing/2014/main" id="{00000000-0008-0000-06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553528</xdr:colOff>
      <xdr:row>43</xdr:row>
      <xdr:rowOff>93453</xdr:rowOff>
    </xdr:from>
    <xdr:to>
      <xdr:col>11</xdr:col>
      <xdr:colOff>481641</xdr:colOff>
      <xdr:row>59</xdr:row>
      <xdr:rowOff>76200</xdr:rowOff>
    </xdr:to>
    <xdr:graphicFrame macro="">
      <xdr:nvGraphicFramePr>
        <xdr:cNvPr id="13" name="Chart 12">
          <a:extLst>
            <a:ext uri="{FF2B5EF4-FFF2-40B4-BE49-F238E27FC236}">
              <a16:creationId xmlns:a16="http://schemas.microsoft.com/office/drawing/2014/main" id="{00000000-0008-0000-06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567906</xdr:colOff>
      <xdr:row>39</xdr:row>
      <xdr:rowOff>158151</xdr:rowOff>
    </xdr:from>
    <xdr:to>
      <xdr:col>10</xdr:col>
      <xdr:colOff>126390</xdr:colOff>
      <xdr:row>50</xdr:row>
      <xdr:rowOff>19257</xdr:rowOff>
    </xdr:to>
    <mc:AlternateContent xmlns:mc="http://schemas.openxmlformats.org/markup-compatibility/2006" xmlns:a14="http://schemas.microsoft.com/office/drawing/2010/main">
      <mc:Choice Requires="a14">
        <xdr:graphicFrame macro="">
          <xdr:nvGraphicFramePr>
            <xdr:cNvPr id="15" name="Representative 4">
              <a:extLst>
                <a:ext uri="{FF2B5EF4-FFF2-40B4-BE49-F238E27FC236}">
                  <a16:creationId xmlns:a16="http://schemas.microsoft.com/office/drawing/2014/main" id="{00000000-0008-0000-0600-00000F000000}"/>
                </a:ext>
              </a:extLst>
            </xdr:cNvPr>
            <xdr:cNvGraphicFramePr/>
          </xdr:nvGraphicFramePr>
          <xdr:xfrm>
            <a:off x="0" y="0"/>
            <a:ext cx="0" cy="0"/>
          </xdr:xfrm>
          <a:graphic>
            <a:graphicData uri="http://schemas.microsoft.com/office/drawing/2010/slicer">
              <sle:slicer xmlns:sle="http://schemas.microsoft.com/office/drawing/2010/slicer" name="Representative 4"/>
            </a:graphicData>
          </a:graphic>
        </xdr:graphicFrame>
      </mc:Choice>
      <mc:Fallback xmlns="">
        <xdr:sp macro="" textlink="">
          <xdr:nvSpPr>
            <xdr:cNvPr id="0" name=""/>
            <xdr:cNvSpPr>
              <a:spLocks noTextEdit="1"/>
            </xdr:cNvSpPr>
          </xdr:nvSpPr>
          <xdr:spPr>
            <a:xfrm>
              <a:off x="7806906" y="6886755"/>
              <a:ext cx="895578" cy="17589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144332</xdr:colOff>
      <xdr:row>3</xdr:row>
      <xdr:rowOff>39680</xdr:rowOff>
    </xdr:from>
    <xdr:to>
      <xdr:col>4</xdr:col>
      <xdr:colOff>632012</xdr:colOff>
      <xdr:row>7</xdr:row>
      <xdr:rowOff>153980</xdr:rowOff>
    </xdr:to>
    <xdr:sp macro="" textlink="'pivot tabel'!A4">
      <xdr:nvSpPr>
        <xdr:cNvPr id="3" name="Rectangle 2">
          <a:extLst>
            <a:ext uri="{FF2B5EF4-FFF2-40B4-BE49-F238E27FC236}">
              <a16:creationId xmlns:a16="http://schemas.microsoft.com/office/drawing/2014/main" id="{00000000-0008-0000-0700-000003000000}"/>
            </a:ext>
          </a:extLst>
        </xdr:cNvPr>
        <xdr:cNvSpPr/>
      </xdr:nvSpPr>
      <xdr:spPr>
        <a:xfrm>
          <a:off x="1166527" y="569363"/>
          <a:ext cx="1156753" cy="820544"/>
        </a:xfrm>
        <a:prstGeom prst="rect">
          <a:avLst/>
        </a:prstGeom>
        <a:solidFill>
          <a:schemeClr val="accent1">
            <a:lumMod val="40000"/>
            <a:lumOff val="60000"/>
          </a:schemeClr>
        </a:solidFill>
        <a:ln>
          <a:solidFill>
            <a:schemeClr val="accent1">
              <a:lumMod val="60000"/>
              <a:lumOff val="40000"/>
              <a:alpha val="50000"/>
            </a:schemeClr>
          </a:solidFill>
        </a:ln>
        <a:effectLst>
          <a:outerShdw blurRad="254000" dist="1270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5F26962-508A-4257-B797-94A20E30498E}" type="TxLink">
            <a:rPr lang="en-US" sz="1800" b="0" i="0" u="none" strike="noStrike">
              <a:solidFill>
                <a:schemeClr val="bg2">
                  <a:lumMod val="25000"/>
                </a:schemeClr>
              </a:solidFill>
              <a:latin typeface="+mj-lt"/>
            </a:rPr>
            <a:pPr algn="ctr"/>
            <a:t>1,000</a:t>
          </a:fld>
          <a:endParaRPr lang="en-US" sz="1800">
            <a:solidFill>
              <a:schemeClr val="bg2">
                <a:lumMod val="25000"/>
              </a:schemeClr>
            </a:solidFill>
            <a:latin typeface="+mj-lt"/>
          </a:endParaRPr>
        </a:p>
      </xdr:txBody>
    </xdr:sp>
    <xdr:clientData/>
  </xdr:twoCellAnchor>
  <xdr:twoCellAnchor editAs="oneCell">
    <xdr:from>
      <xdr:col>3</xdr:col>
      <xdr:colOff>205636</xdr:colOff>
      <xdr:row>3</xdr:row>
      <xdr:rowOff>70888</xdr:rowOff>
    </xdr:from>
    <xdr:to>
      <xdr:col>3</xdr:col>
      <xdr:colOff>350946</xdr:colOff>
      <xdr:row>4</xdr:row>
      <xdr:rowOff>42533</xdr:rowOff>
    </xdr:to>
    <xdr:pic>
      <xdr:nvPicPr>
        <xdr:cNvPr id="11" name="Picture 10" descr="Speaker phone with solid fill">
          <a:extLst>
            <a:ext uri="{FF2B5EF4-FFF2-40B4-BE49-F238E27FC236}">
              <a16:creationId xmlns:a16="http://schemas.microsoft.com/office/drawing/2014/main" id="{00000000-0008-0000-0700-00000B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rot="911809">
          <a:off x="1222817" y="591883"/>
          <a:ext cx="145310" cy="145310"/>
        </a:xfrm>
        <a:prstGeom prst="rect">
          <a:avLst/>
        </a:prstGeom>
        <a:solidFill>
          <a:schemeClr val="accent1">
            <a:lumMod val="60000"/>
            <a:lumOff val="40000"/>
          </a:schemeClr>
        </a:solidFill>
      </xdr:spPr>
    </xdr:pic>
    <xdr:clientData/>
  </xdr:twoCellAnchor>
  <xdr:twoCellAnchor>
    <xdr:from>
      <xdr:col>3</xdr:col>
      <xdr:colOff>474922</xdr:colOff>
      <xdr:row>3</xdr:row>
      <xdr:rowOff>53164</xdr:rowOff>
    </xdr:from>
    <xdr:to>
      <xdr:col>4</xdr:col>
      <xdr:colOff>333153</xdr:colOff>
      <xdr:row>4</xdr:row>
      <xdr:rowOff>24809</xdr:rowOff>
    </xdr:to>
    <xdr:sp macro="" textlink="">
      <xdr:nvSpPr>
        <xdr:cNvPr id="13" name="TextBox 12">
          <a:extLst>
            <a:ext uri="{FF2B5EF4-FFF2-40B4-BE49-F238E27FC236}">
              <a16:creationId xmlns:a16="http://schemas.microsoft.com/office/drawing/2014/main" id="{00000000-0008-0000-0700-00000D000000}"/>
            </a:ext>
          </a:extLst>
        </xdr:cNvPr>
        <xdr:cNvSpPr txBox="1"/>
      </xdr:nvSpPr>
      <xdr:spPr>
        <a:xfrm>
          <a:off x="1492103" y="574159"/>
          <a:ext cx="528083" cy="1453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800">
              <a:solidFill>
                <a:schemeClr val="bg2">
                  <a:lumMod val="10000"/>
                </a:schemeClr>
              </a:solidFill>
            </a:rPr>
            <a:t>Call</a:t>
          </a:r>
          <a:r>
            <a:rPr lang="en-IN" sz="800" baseline="0">
              <a:solidFill>
                <a:schemeClr val="bg2">
                  <a:lumMod val="10000"/>
                </a:schemeClr>
              </a:solidFill>
            </a:rPr>
            <a:t>s</a:t>
          </a:r>
          <a:endParaRPr lang="en-IN" sz="800">
            <a:solidFill>
              <a:schemeClr val="bg2">
                <a:lumMod val="10000"/>
              </a:schemeClr>
            </a:solidFill>
          </a:endParaRPr>
        </a:p>
      </xdr:txBody>
    </xdr:sp>
    <xdr:clientData/>
  </xdr:twoCellAnchor>
  <xdr:twoCellAnchor>
    <xdr:from>
      <xdr:col>3</xdr:col>
      <xdr:colOff>379228</xdr:colOff>
      <xdr:row>6</xdr:row>
      <xdr:rowOff>81516</xdr:rowOff>
    </xdr:from>
    <xdr:to>
      <xdr:col>4</xdr:col>
      <xdr:colOff>418214</xdr:colOff>
      <xdr:row>7</xdr:row>
      <xdr:rowOff>42530</xdr:rowOff>
    </xdr:to>
    <xdr:sp macro="" textlink="'pivot tabel'!A8">
      <xdr:nvSpPr>
        <xdr:cNvPr id="14" name="TextBox 13">
          <a:extLst>
            <a:ext uri="{FF2B5EF4-FFF2-40B4-BE49-F238E27FC236}">
              <a16:creationId xmlns:a16="http://schemas.microsoft.com/office/drawing/2014/main" id="{00000000-0008-0000-0700-00000E000000}"/>
            </a:ext>
          </a:extLst>
        </xdr:cNvPr>
        <xdr:cNvSpPr txBox="1"/>
      </xdr:nvSpPr>
      <xdr:spPr>
        <a:xfrm>
          <a:off x="1396409" y="1123507"/>
          <a:ext cx="708838" cy="134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E4ED11E-B8F6-45AF-A2B6-37542215E622}" type="TxLink">
            <a:rPr lang="en-US" sz="900" b="0" i="0" u="none" strike="noStrike">
              <a:solidFill>
                <a:schemeClr val="tx1"/>
              </a:solidFill>
              <a:latin typeface="+mn-lt"/>
            </a:rPr>
            <a:pPr algn="ctr"/>
            <a:t>218</a:t>
          </a:fld>
          <a:endParaRPr lang="en-IN" sz="900">
            <a:solidFill>
              <a:schemeClr val="tx1"/>
            </a:solidFill>
            <a:latin typeface="+mn-lt"/>
          </a:endParaRPr>
        </a:p>
      </xdr:txBody>
    </xdr:sp>
    <xdr:clientData/>
  </xdr:twoCellAnchor>
  <xdr:twoCellAnchor>
    <xdr:from>
      <xdr:col>3</xdr:col>
      <xdr:colOff>157976</xdr:colOff>
      <xdr:row>9</xdr:row>
      <xdr:rowOff>148682</xdr:rowOff>
    </xdr:from>
    <xdr:to>
      <xdr:col>4</xdr:col>
      <xdr:colOff>645656</xdr:colOff>
      <xdr:row>14</xdr:row>
      <xdr:rowOff>86421</xdr:rowOff>
    </xdr:to>
    <xdr:sp macro="" textlink="'pivot tabel'!B4">
      <xdr:nvSpPr>
        <xdr:cNvPr id="4" name="Rectangle 3">
          <a:extLst>
            <a:ext uri="{FF2B5EF4-FFF2-40B4-BE49-F238E27FC236}">
              <a16:creationId xmlns:a16="http://schemas.microsoft.com/office/drawing/2014/main" id="{00000000-0008-0000-0700-000004000000}"/>
            </a:ext>
          </a:extLst>
        </xdr:cNvPr>
        <xdr:cNvSpPr/>
      </xdr:nvSpPr>
      <xdr:spPr>
        <a:xfrm>
          <a:off x="1180171" y="1737731"/>
          <a:ext cx="1156753" cy="820544"/>
        </a:xfrm>
        <a:prstGeom prst="rect">
          <a:avLst/>
        </a:prstGeom>
        <a:solidFill>
          <a:schemeClr val="accent1">
            <a:lumMod val="40000"/>
            <a:lumOff val="60000"/>
          </a:schemeClr>
        </a:solidFill>
        <a:ln>
          <a:solidFill>
            <a:schemeClr val="accent1">
              <a:lumMod val="60000"/>
              <a:lumOff val="40000"/>
              <a:alpha val="50000"/>
            </a:schemeClr>
          </a:solidFill>
        </a:ln>
        <a:effectLst>
          <a:outerShdw blurRad="254000" dist="1270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9A1F45B0-16EE-4FA3-AB7B-AA2F2A7FDA0C}" type="TxLink">
            <a:rPr lang="en-US" sz="1800" b="0" i="0" u="none" strike="noStrike">
              <a:solidFill>
                <a:schemeClr val="bg2">
                  <a:lumMod val="25000"/>
                </a:schemeClr>
              </a:solidFill>
              <a:latin typeface="+mj-lt"/>
              <a:ea typeface="+mn-ea"/>
              <a:cs typeface="+mn-cs"/>
            </a:rPr>
            <a:pPr marL="0" indent="0" algn="ctr"/>
            <a:t>₹ 96,623</a:t>
          </a:fld>
          <a:endParaRPr lang="en-US" sz="1800" b="0" i="0" u="none" strike="noStrike">
            <a:solidFill>
              <a:schemeClr val="bg2">
                <a:lumMod val="25000"/>
              </a:schemeClr>
            </a:solidFill>
            <a:latin typeface="+mj-lt"/>
            <a:ea typeface="+mn-ea"/>
            <a:cs typeface="+mn-cs"/>
          </a:endParaRPr>
        </a:p>
      </xdr:txBody>
    </xdr:sp>
    <xdr:clientData/>
  </xdr:twoCellAnchor>
  <xdr:twoCellAnchor>
    <xdr:from>
      <xdr:col>3</xdr:col>
      <xdr:colOff>411667</xdr:colOff>
      <xdr:row>10</xdr:row>
      <xdr:rowOff>15360</xdr:rowOff>
    </xdr:from>
    <xdr:to>
      <xdr:col>4</xdr:col>
      <xdr:colOff>580238</xdr:colOff>
      <xdr:row>11</xdr:row>
      <xdr:rowOff>27963</xdr:rowOff>
    </xdr:to>
    <xdr:sp macro="" textlink="">
      <xdr:nvSpPr>
        <xdr:cNvPr id="6" name="TextBox 5">
          <a:extLst>
            <a:ext uri="{FF2B5EF4-FFF2-40B4-BE49-F238E27FC236}">
              <a16:creationId xmlns:a16="http://schemas.microsoft.com/office/drawing/2014/main" id="{00000000-0008-0000-0700-000006000000}"/>
            </a:ext>
          </a:extLst>
        </xdr:cNvPr>
        <xdr:cNvSpPr txBox="1"/>
      </xdr:nvSpPr>
      <xdr:spPr>
        <a:xfrm>
          <a:off x="1432328" y="1763066"/>
          <a:ext cx="839690" cy="1873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800">
              <a:solidFill>
                <a:schemeClr val="bg2">
                  <a:lumMod val="10000"/>
                </a:schemeClr>
              </a:solidFill>
              <a:latin typeface="+mn-lt"/>
              <a:ea typeface="+mn-ea"/>
              <a:cs typeface="+mn-cs"/>
            </a:rPr>
            <a:t>Total</a:t>
          </a:r>
          <a:r>
            <a:rPr lang="en-IN" sz="600" baseline="0">
              <a:solidFill>
                <a:schemeClr val="bg2">
                  <a:lumMod val="10000"/>
                </a:schemeClr>
              </a:solidFill>
            </a:rPr>
            <a:t> </a:t>
          </a:r>
          <a:r>
            <a:rPr lang="en-IN" sz="800" baseline="0">
              <a:solidFill>
                <a:schemeClr val="bg2">
                  <a:lumMod val="10000"/>
                </a:schemeClr>
              </a:solidFill>
            </a:rPr>
            <a:t>Amount</a:t>
          </a:r>
          <a:endParaRPr lang="en-IN" sz="600">
            <a:solidFill>
              <a:schemeClr val="bg2">
                <a:lumMod val="10000"/>
              </a:schemeClr>
            </a:solidFill>
          </a:endParaRPr>
        </a:p>
      </xdr:txBody>
    </xdr:sp>
    <xdr:clientData/>
  </xdr:twoCellAnchor>
  <xdr:twoCellAnchor>
    <xdr:from>
      <xdr:col>3</xdr:col>
      <xdr:colOff>392872</xdr:colOff>
      <xdr:row>13</xdr:row>
      <xdr:rowOff>13957</xdr:rowOff>
    </xdr:from>
    <xdr:to>
      <xdr:col>4</xdr:col>
      <xdr:colOff>431858</xdr:colOff>
      <xdr:row>13</xdr:row>
      <xdr:rowOff>151532</xdr:rowOff>
    </xdr:to>
    <xdr:sp macro="" textlink="'pivot tabel'!B8">
      <xdr:nvSpPr>
        <xdr:cNvPr id="7" name="TextBox 6">
          <a:extLst>
            <a:ext uri="{FF2B5EF4-FFF2-40B4-BE49-F238E27FC236}">
              <a16:creationId xmlns:a16="http://schemas.microsoft.com/office/drawing/2014/main" id="{00000000-0008-0000-0700-000007000000}"/>
            </a:ext>
          </a:extLst>
        </xdr:cNvPr>
        <xdr:cNvSpPr txBox="1"/>
      </xdr:nvSpPr>
      <xdr:spPr>
        <a:xfrm>
          <a:off x="1415067" y="2309250"/>
          <a:ext cx="708059" cy="137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A20CC23-32BD-4F26-97D1-486E02EE5CE6}" type="TxLink">
            <a:rPr lang="en-US" sz="900" b="0" i="0" u="none" strike="noStrike">
              <a:solidFill>
                <a:schemeClr val="tx1"/>
              </a:solidFill>
              <a:latin typeface="+mn-lt"/>
              <a:ea typeface="+mn-ea"/>
              <a:cs typeface="+mn-cs"/>
            </a:rPr>
            <a:pPr marL="0" indent="0" algn="ctr"/>
            <a:t>₹ 20,581</a:t>
          </a:fld>
          <a:endParaRPr lang="en-IN" sz="900" b="0" i="0" u="none" strike="noStrike">
            <a:solidFill>
              <a:schemeClr val="tx1"/>
            </a:solidFill>
            <a:latin typeface="+mn-lt"/>
            <a:ea typeface="+mn-ea"/>
            <a:cs typeface="+mn-cs"/>
          </a:endParaRPr>
        </a:p>
      </xdr:txBody>
    </xdr:sp>
    <xdr:clientData/>
  </xdr:twoCellAnchor>
  <xdr:twoCellAnchor>
    <xdr:from>
      <xdr:col>3</xdr:col>
      <xdr:colOff>198864</xdr:colOff>
      <xdr:row>16</xdr:row>
      <xdr:rowOff>87351</xdr:rowOff>
    </xdr:from>
    <xdr:to>
      <xdr:col>5</xdr:col>
      <xdr:colOff>17471</xdr:colOff>
      <xdr:row>21</xdr:row>
      <xdr:rowOff>25091</xdr:rowOff>
    </xdr:to>
    <xdr:sp macro="" textlink="'pivot tabel'!C4">
      <xdr:nvSpPr>
        <xdr:cNvPr id="27" name="Rectangle 26">
          <a:extLst>
            <a:ext uri="{FF2B5EF4-FFF2-40B4-BE49-F238E27FC236}">
              <a16:creationId xmlns:a16="http://schemas.microsoft.com/office/drawing/2014/main" id="{00000000-0008-0000-0700-00001B000000}"/>
            </a:ext>
          </a:extLst>
        </xdr:cNvPr>
        <xdr:cNvSpPr/>
      </xdr:nvSpPr>
      <xdr:spPr>
        <a:xfrm>
          <a:off x="1221059" y="2912327"/>
          <a:ext cx="1156753" cy="820544"/>
        </a:xfrm>
        <a:prstGeom prst="rect">
          <a:avLst/>
        </a:prstGeom>
        <a:solidFill>
          <a:schemeClr val="accent1">
            <a:lumMod val="40000"/>
            <a:lumOff val="60000"/>
          </a:schemeClr>
        </a:solidFill>
        <a:ln>
          <a:solidFill>
            <a:schemeClr val="accent1">
              <a:lumMod val="60000"/>
              <a:lumOff val="40000"/>
              <a:alpha val="50000"/>
            </a:schemeClr>
          </a:solidFill>
        </a:ln>
        <a:effectLst>
          <a:outerShdw blurRad="254000" dist="1270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9A0F656C-E0E5-404E-866B-24AEBB4DF58D}" type="TxLink">
            <a:rPr lang="en-US" sz="1800" b="0" i="0" u="none" strike="noStrike">
              <a:solidFill>
                <a:schemeClr val="bg2">
                  <a:lumMod val="25000"/>
                </a:schemeClr>
              </a:solidFill>
              <a:latin typeface="+mj-lt"/>
              <a:ea typeface="+mn-ea"/>
              <a:cs typeface="+mn-cs"/>
            </a:rPr>
            <a:pPr marL="0" indent="0" algn="ctr"/>
            <a:t>89,850</a:t>
          </a:fld>
          <a:endParaRPr lang="en-US" sz="1800" b="0" i="0" u="none" strike="noStrike">
            <a:solidFill>
              <a:schemeClr val="bg2">
                <a:lumMod val="25000"/>
              </a:schemeClr>
            </a:solidFill>
            <a:latin typeface="+mj-lt"/>
            <a:ea typeface="+mn-ea"/>
            <a:cs typeface="+mn-cs"/>
          </a:endParaRPr>
        </a:p>
      </xdr:txBody>
    </xdr:sp>
    <xdr:clientData/>
  </xdr:twoCellAnchor>
  <xdr:twoCellAnchor>
    <xdr:from>
      <xdr:col>3</xdr:col>
      <xdr:colOff>487509</xdr:colOff>
      <xdr:row>16</xdr:row>
      <xdr:rowOff>100835</xdr:rowOff>
    </xdr:from>
    <xdr:to>
      <xdr:col>4</xdr:col>
      <xdr:colOff>461394</xdr:colOff>
      <xdr:row>17</xdr:row>
      <xdr:rowOff>104862</xdr:rowOff>
    </xdr:to>
    <xdr:sp macro="" textlink="">
      <xdr:nvSpPr>
        <xdr:cNvPr id="29" name="TextBox 28">
          <a:extLst>
            <a:ext uri="{FF2B5EF4-FFF2-40B4-BE49-F238E27FC236}">
              <a16:creationId xmlns:a16="http://schemas.microsoft.com/office/drawing/2014/main" id="{00000000-0008-0000-0700-00001D000000}"/>
            </a:ext>
          </a:extLst>
        </xdr:cNvPr>
        <xdr:cNvSpPr txBox="1"/>
      </xdr:nvSpPr>
      <xdr:spPr>
        <a:xfrm>
          <a:off x="1508170" y="2897165"/>
          <a:ext cx="645004" cy="1787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800">
              <a:solidFill>
                <a:schemeClr val="bg2">
                  <a:lumMod val="10000"/>
                </a:schemeClr>
              </a:solidFill>
            </a:rPr>
            <a:t>Duration</a:t>
          </a:r>
        </a:p>
      </xdr:txBody>
    </xdr:sp>
    <xdr:clientData/>
  </xdr:twoCellAnchor>
  <xdr:twoCellAnchor>
    <xdr:from>
      <xdr:col>3</xdr:col>
      <xdr:colOff>433760</xdr:colOff>
      <xdr:row>19</xdr:row>
      <xdr:rowOff>129187</xdr:rowOff>
    </xdr:from>
    <xdr:to>
      <xdr:col>4</xdr:col>
      <xdr:colOff>472746</xdr:colOff>
      <xdr:row>20</xdr:row>
      <xdr:rowOff>90201</xdr:rowOff>
    </xdr:to>
    <xdr:sp macro="" textlink="'pivot tabel'!C8">
      <xdr:nvSpPr>
        <xdr:cNvPr id="30" name="TextBox 29">
          <a:extLst>
            <a:ext uri="{FF2B5EF4-FFF2-40B4-BE49-F238E27FC236}">
              <a16:creationId xmlns:a16="http://schemas.microsoft.com/office/drawing/2014/main" id="{00000000-0008-0000-0700-00001E000000}"/>
            </a:ext>
          </a:extLst>
        </xdr:cNvPr>
        <xdr:cNvSpPr txBox="1"/>
      </xdr:nvSpPr>
      <xdr:spPr>
        <a:xfrm>
          <a:off x="1455955" y="3483846"/>
          <a:ext cx="708059" cy="137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F1C2046-1694-4003-BE44-70471F3AA782}" type="TxLink">
            <a:rPr lang="en-US" sz="900" b="0" i="0" u="none" strike="noStrike">
              <a:solidFill>
                <a:schemeClr val="tx1"/>
              </a:solidFill>
              <a:latin typeface="+mn-lt"/>
              <a:ea typeface="+mn-ea"/>
              <a:cs typeface="+mn-cs"/>
            </a:rPr>
            <a:pPr marL="0" indent="0" algn="ctr"/>
            <a:t>19,300</a:t>
          </a:fld>
          <a:endParaRPr lang="en-IN" sz="900" b="0" i="0" u="none" strike="noStrike">
            <a:solidFill>
              <a:schemeClr val="tx1"/>
            </a:solidFill>
            <a:latin typeface="+mn-lt"/>
            <a:ea typeface="+mn-ea"/>
            <a:cs typeface="+mn-cs"/>
          </a:endParaRPr>
        </a:p>
      </xdr:txBody>
    </xdr:sp>
    <xdr:clientData/>
  </xdr:twoCellAnchor>
  <xdr:twoCellAnchor>
    <xdr:from>
      <xdr:col>3</xdr:col>
      <xdr:colOff>204439</xdr:colOff>
      <xdr:row>23</xdr:row>
      <xdr:rowOff>18586</xdr:rowOff>
    </xdr:from>
    <xdr:to>
      <xdr:col>5</xdr:col>
      <xdr:colOff>23046</xdr:colOff>
      <xdr:row>27</xdr:row>
      <xdr:rowOff>132886</xdr:rowOff>
    </xdr:to>
    <xdr:sp macro="" textlink="'pivot tabel'!D4">
      <xdr:nvSpPr>
        <xdr:cNvPr id="31" name="Rectangle 30">
          <a:extLst>
            <a:ext uri="{FF2B5EF4-FFF2-40B4-BE49-F238E27FC236}">
              <a16:creationId xmlns:a16="http://schemas.microsoft.com/office/drawing/2014/main" id="{00000000-0008-0000-0700-00001F000000}"/>
            </a:ext>
          </a:extLst>
        </xdr:cNvPr>
        <xdr:cNvSpPr/>
      </xdr:nvSpPr>
      <xdr:spPr>
        <a:xfrm>
          <a:off x="1226634" y="4079488"/>
          <a:ext cx="1156753" cy="820544"/>
        </a:xfrm>
        <a:prstGeom prst="rect">
          <a:avLst/>
        </a:prstGeom>
        <a:solidFill>
          <a:schemeClr val="accent1">
            <a:lumMod val="40000"/>
            <a:lumOff val="60000"/>
          </a:schemeClr>
        </a:solidFill>
        <a:ln>
          <a:solidFill>
            <a:schemeClr val="accent1">
              <a:lumMod val="60000"/>
              <a:lumOff val="40000"/>
              <a:alpha val="50000"/>
            </a:schemeClr>
          </a:solidFill>
        </a:ln>
        <a:effectLst>
          <a:outerShdw blurRad="254000" dist="1270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E40B0684-6F73-4FED-A1F7-9484D9EADBA5}" type="TxLink">
            <a:rPr lang="en-US" sz="1800" b="0" i="0" u="none" strike="noStrike">
              <a:solidFill>
                <a:schemeClr val="bg2">
                  <a:lumMod val="25000"/>
                </a:schemeClr>
              </a:solidFill>
              <a:latin typeface="+mj-lt"/>
              <a:ea typeface="+mn-ea"/>
              <a:cs typeface="+mn-cs"/>
            </a:rPr>
            <a:pPr marL="0" indent="0" algn="ctr"/>
            <a:t>3.9</a:t>
          </a:fld>
          <a:endParaRPr lang="en-US" sz="1800" b="0" i="0" u="none" strike="noStrike">
            <a:solidFill>
              <a:schemeClr val="bg2">
                <a:lumMod val="25000"/>
              </a:schemeClr>
            </a:solidFill>
            <a:latin typeface="+mj-lt"/>
            <a:ea typeface="+mn-ea"/>
            <a:cs typeface="+mn-cs"/>
          </a:endParaRPr>
        </a:p>
      </xdr:txBody>
    </xdr:sp>
    <xdr:clientData/>
  </xdr:twoCellAnchor>
  <xdr:twoCellAnchor>
    <xdr:from>
      <xdr:col>3</xdr:col>
      <xdr:colOff>437158</xdr:colOff>
      <xdr:row>23</xdr:row>
      <xdr:rowOff>25079</xdr:rowOff>
    </xdr:from>
    <xdr:to>
      <xdr:col>4</xdr:col>
      <xdr:colOff>531303</xdr:colOff>
      <xdr:row>24</xdr:row>
      <xdr:rowOff>76899</xdr:rowOff>
    </xdr:to>
    <xdr:sp macro="" textlink="">
      <xdr:nvSpPr>
        <xdr:cNvPr id="33" name="TextBox 32">
          <a:extLst>
            <a:ext uri="{FF2B5EF4-FFF2-40B4-BE49-F238E27FC236}">
              <a16:creationId xmlns:a16="http://schemas.microsoft.com/office/drawing/2014/main" id="{00000000-0008-0000-0700-000021000000}"/>
            </a:ext>
          </a:extLst>
        </xdr:cNvPr>
        <xdr:cNvSpPr txBox="1"/>
      </xdr:nvSpPr>
      <xdr:spPr>
        <a:xfrm>
          <a:off x="1457819" y="4044804"/>
          <a:ext cx="765264" cy="2265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800">
              <a:solidFill>
                <a:schemeClr val="bg2">
                  <a:lumMod val="10000"/>
                </a:schemeClr>
              </a:solidFill>
            </a:rPr>
            <a:t>Avg</a:t>
          </a:r>
          <a:r>
            <a:rPr lang="en-IN" sz="800" baseline="0">
              <a:solidFill>
                <a:schemeClr val="bg2">
                  <a:lumMod val="10000"/>
                </a:schemeClr>
              </a:solidFill>
            </a:rPr>
            <a:t> Rating</a:t>
          </a:r>
          <a:endParaRPr lang="en-IN" sz="800">
            <a:solidFill>
              <a:schemeClr val="bg2">
                <a:lumMod val="10000"/>
              </a:schemeClr>
            </a:solidFill>
          </a:endParaRPr>
        </a:p>
      </xdr:txBody>
    </xdr:sp>
    <xdr:clientData/>
  </xdr:twoCellAnchor>
  <xdr:twoCellAnchor>
    <xdr:from>
      <xdr:col>3</xdr:col>
      <xdr:colOff>439335</xdr:colOff>
      <xdr:row>26</xdr:row>
      <xdr:rowOff>60422</xdr:rowOff>
    </xdr:from>
    <xdr:to>
      <xdr:col>4</xdr:col>
      <xdr:colOff>478321</xdr:colOff>
      <xdr:row>27</xdr:row>
      <xdr:rowOff>21436</xdr:rowOff>
    </xdr:to>
    <xdr:sp macro="" textlink="'pivot tabel'!D8">
      <xdr:nvSpPr>
        <xdr:cNvPr id="34" name="TextBox 33">
          <a:extLst>
            <a:ext uri="{FF2B5EF4-FFF2-40B4-BE49-F238E27FC236}">
              <a16:creationId xmlns:a16="http://schemas.microsoft.com/office/drawing/2014/main" id="{00000000-0008-0000-0700-000022000000}"/>
            </a:ext>
          </a:extLst>
        </xdr:cNvPr>
        <xdr:cNvSpPr txBox="1"/>
      </xdr:nvSpPr>
      <xdr:spPr>
        <a:xfrm>
          <a:off x="1461530" y="4651007"/>
          <a:ext cx="708059" cy="137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819A5D6-8723-4C57-952A-9B973C4BCF47}" type="TxLink">
            <a:rPr lang="en-US" sz="900" b="0" i="0" u="none" strike="noStrike">
              <a:solidFill>
                <a:schemeClr val="tx1"/>
              </a:solidFill>
              <a:latin typeface="+mn-lt"/>
              <a:ea typeface="+mn-ea"/>
              <a:cs typeface="+mn-cs"/>
            </a:rPr>
            <a:pPr marL="0" indent="0" algn="ctr"/>
            <a:t>3.9</a:t>
          </a:fld>
          <a:endParaRPr lang="en-IN" sz="900" b="0" i="0" u="none" strike="noStrike">
            <a:solidFill>
              <a:schemeClr val="tx1"/>
            </a:solidFill>
            <a:latin typeface="+mn-lt"/>
            <a:ea typeface="+mn-ea"/>
            <a:cs typeface="+mn-cs"/>
          </a:endParaRPr>
        </a:p>
      </xdr:txBody>
    </xdr:sp>
    <xdr:clientData/>
  </xdr:twoCellAnchor>
  <xdr:twoCellAnchor>
    <xdr:from>
      <xdr:col>3</xdr:col>
      <xdr:colOff>208157</xdr:colOff>
      <xdr:row>29</xdr:row>
      <xdr:rowOff>124523</xdr:rowOff>
    </xdr:from>
    <xdr:to>
      <xdr:col>5</xdr:col>
      <xdr:colOff>26764</xdr:colOff>
      <xdr:row>34</xdr:row>
      <xdr:rowOff>62262</xdr:rowOff>
    </xdr:to>
    <xdr:sp macro="" textlink="'pivot tabel'!E4">
      <xdr:nvSpPr>
        <xdr:cNvPr id="35" name="Rectangle 34">
          <a:extLst>
            <a:ext uri="{FF2B5EF4-FFF2-40B4-BE49-F238E27FC236}">
              <a16:creationId xmlns:a16="http://schemas.microsoft.com/office/drawing/2014/main" id="{00000000-0008-0000-0700-000023000000}"/>
            </a:ext>
          </a:extLst>
        </xdr:cNvPr>
        <xdr:cNvSpPr/>
      </xdr:nvSpPr>
      <xdr:spPr>
        <a:xfrm>
          <a:off x="1230352" y="5244791"/>
          <a:ext cx="1156753" cy="820544"/>
        </a:xfrm>
        <a:prstGeom prst="rect">
          <a:avLst/>
        </a:prstGeom>
        <a:solidFill>
          <a:schemeClr val="accent1">
            <a:lumMod val="40000"/>
            <a:lumOff val="60000"/>
          </a:schemeClr>
        </a:solidFill>
        <a:ln>
          <a:solidFill>
            <a:schemeClr val="accent1">
              <a:lumMod val="60000"/>
              <a:lumOff val="40000"/>
              <a:alpha val="50000"/>
            </a:schemeClr>
          </a:solidFill>
        </a:ln>
        <a:effectLst>
          <a:outerShdw blurRad="254000" dist="1270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7D5315B1-8891-4AD0-9DD8-5959DCA396EE}" type="TxLink">
            <a:rPr lang="en-US" sz="1800" b="0" i="0" u="none" strike="noStrike">
              <a:solidFill>
                <a:schemeClr val="bg2">
                  <a:lumMod val="25000"/>
                </a:schemeClr>
              </a:solidFill>
              <a:latin typeface="+mj-lt"/>
              <a:ea typeface="+mn-ea"/>
              <a:cs typeface="+mn-cs"/>
            </a:rPr>
            <a:pPr marL="0" indent="0" algn="ctr"/>
            <a:t>307</a:t>
          </a:fld>
          <a:endParaRPr lang="en-US" sz="1800" b="0" i="0" u="none" strike="noStrike">
            <a:solidFill>
              <a:schemeClr val="bg2">
                <a:lumMod val="25000"/>
              </a:schemeClr>
            </a:solidFill>
            <a:latin typeface="+mj-lt"/>
            <a:ea typeface="+mn-ea"/>
            <a:cs typeface="+mn-cs"/>
          </a:endParaRPr>
        </a:p>
      </xdr:txBody>
    </xdr:sp>
    <xdr:clientData/>
  </xdr:twoCellAnchor>
  <xdr:twoCellAnchor editAs="oneCell">
    <xdr:from>
      <xdr:col>3</xdr:col>
      <xdr:colOff>269461</xdr:colOff>
      <xdr:row>29</xdr:row>
      <xdr:rowOff>155731</xdr:rowOff>
    </xdr:from>
    <xdr:to>
      <xdr:col>3</xdr:col>
      <xdr:colOff>414771</xdr:colOff>
      <xdr:row>30</xdr:row>
      <xdr:rowOff>127376</xdr:rowOff>
    </xdr:to>
    <xdr:pic>
      <xdr:nvPicPr>
        <xdr:cNvPr id="36" name="Picture 10" descr="Speaker phone with solid fill">
          <a:extLst>
            <a:ext uri="{FF2B5EF4-FFF2-40B4-BE49-F238E27FC236}">
              <a16:creationId xmlns:a16="http://schemas.microsoft.com/office/drawing/2014/main" id="{00000000-0008-0000-0700-00002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rot="911809">
          <a:off x="1291656" y="5275999"/>
          <a:ext cx="145310" cy="148206"/>
        </a:xfrm>
        <a:prstGeom prst="rect">
          <a:avLst/>
        </a:prstGeom>
        <a:solidFill>
          <a:schemeClr val="accent1">
            <a:lumMod val="60000"/>
            <a:lumOff val="40000"/>
          </a:schemeClr>
        </a:solidFill>
      </xdr:spPr>
    </xdr:pic>
    <xdr:clientData/>
  </xdr:twoCellAnchor>
  <xdr:twoCellAnchor>
    <xdr:from>
      <xdr:col>3</xdr:col>
      <xdr:colOff>398931</xdr:colOff>
      <xdr:row>29</xdr:row>
      <xdr:rowOff>131017</xdr:rowOff>
    </xdr:from>
    <xdr:to>
      <xdr:col>4</xdr:col>
      <xdr:colOff>629174</xdr:colOff>
      <xdr:row>30</xdr:row>
      <xdr:rowOff>132827</xdr:rowOff>
    </xdr:to>
    <xdr:sp macro="" textlink="">
      <xdr:nvSpPr>
        <xdr:cNvPr id="37" name="TextBox 36">
          <a:extLst>
            <a:ext uri="{FF2B5EF4-FFF2-40B4-BE49-F238E27FC236}">
              <a16:creationId xmlns:a16="http://schemas.microsoft.com/office/drawing/2014/main" id="{00000000-0008-0000-0700-000025000000}"/>
            </a:ext>
          </a:extLst>
        </xdr:cNvPr>
        <xdr:cNvSpPr txBox="1"/>
      </xdr:nvSpPr>
      <xdr:spPr>
        <a:xfrm>
          <a:off x="1419592" y="5199366"/>
          <a:ext cx="901362" cy="176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800">
              <a:solidFill>
                <a:schemeClr val="bg2">
                  <a:lumMod val="10000"/>
                </a:schemeClr>
              </a:solidFill>
            </a:rPr>
            <a:t>Happy</a:t>
          </a:r>
          <a:r>
            <a:rPr lang="en-IN" sz="800" baseline="0">
              <a:solidFill>
                <a:schemeClr val="bg2">
                  <a:lumMod val="10000"/>
                </a:schemeClr>
              </a:solidFill>
            </a:rPr>
            <a:t> Callers</a:t>
          </a:r>
          <a:endParaRPr lang="en-IN" sz="800">
            <a:solidFill>
              <a:schemeClr val="bg2">
                <a:lumMod val="10000"/>
              </a:schemeClr>
            </a:solidFill>
          </a:endParaRPr>
        </a:p>
      </xdr:txBody>
    </xdr:sp>
    <xdr:clientData/>
  </xdr:twoCellAnchor>
  <xdr:twoCellAnchor>
    <xdr:from>
      <xdr:col>3</xdr:col>
      <xdr:colOff>443053</xdr:colOff>
      <xdr:row>32</xdr:row>
      <xdr:rowOff>166359</xdr:rowOff>
    </xdr:from>
    <xdr:to>
      <xdr:col>4</xdr:col>
      <xdr:colOff>482039</xdr:colOff>
      <xdr:row>33</xdr:row>
      <xdr:rowOff>127373</xdr:rowOff>
    </xdr:to>
    <xdr:sp macro="" textlink="'pivot tabel'!E8">
      <xdr:nvSpPr>
        <xdr:cNvPr id="38" name="TextBox 37">
          <a:extLst>
            <a:ext uri="{FF2B5EF4-FFF2-40B4-BE49-F238E27FC236}">
              <a16:creationId xmlns:a16="http://schemas.microsoft.com/office/drawing/2014/main" id="{00000000-0008-0000-0700-000026000000}"/>
            </a:ext>
          </a:extLst>
        </xdr:cNvPr>
        <xdr:cNvSpPr txBox="1"/>
      </xdr:nvSpPr>
      <xdr:spPr>
        <a:xfrm>
          <a:off x="1465248" y="5816310"/>
          <a:ext cx="708059" cy="137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6914ECE-20F7-4D04-A72A-EDEA493C9222}" type="TxLink">
            <a:rPr lang="en-US" sz="900" b="0" i="0" u="none" strike="noStrike">
              <a:solidFill>
                <a:schemeClr val="tx1"/>
              </a:solidFill>
              <a:latin typeface="+mn-lt"/>
              <a:ea typeface="+mn-ea"/>
              <a:cs typeface="+mn-cs"/>
            </a:rPr>
            <a:pPr marL="0" indent="0" algn="ctr"/>
            <a:t>74</a:t>
          </a:fld>
          <a:endParaRPr lang="en-IN" sz="900" b="0" i="0" u="none" strike="noStrike">
            <a:solidFill>
              <a:schemeClr val="tx1"/>
            </a:solidFill>
            <a:latin typeface="+mn-lt"/>
            <a:ea typeface="+mn-ea"/>
            <a:cs typeface="+mn-cs"/>
          </a:endParaRPr>
        </a:p>
      </xdr:txBody>
    </xdr:sp>
    <xdr:clientData/>
  </xdr:twoCellAnchor>
  <xdr:twoCellAnchor editAs="oneCell">
    <xdr:from>
      <xdr:col>3</xdr:col>
      <xdr:colOff>249482</xdr:colOff>
      <xdr:row>23</xdr:row>
      <xdr:rowOff>65486</xdr:rowOff>
    </xdr:from>
    <xdr:to>
      <xdr:col>3</xdr:col>
      <xdr:colOff>435156</xdr:colOff>
      <xdr:row>24</xdr:row>
      <xdr:rowOff>76199</xdr:rowOff>
    </xdr:to>
    <xdr:pic>
      <xdr:nvPicPr>
        <xdr:cNvPr id="44" name="Graphic 43" descr="Bar graph with upward trend with solid fill">
          <a:extLst>
            <a:ext uri="{FF2B5EF4-FFF2-40B4-BE49-F238E27FC236}">
              <a16:creationId xmlns:a16="http://schemas.microsoft.com/office/drawing/2014/main" id="{00000000-0008-0000-0700-00002C00000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267791" y="4048668"/>
          <a:ext cx="185674" cy="183895"/>
        </a:xfrm>
        <a:prstGeom prst="rect">
          <a:avLst/>
        </a:prstGeom>
      </xdr:spPr>
    </xdr:pic>
    <xdr:clientData/>
  </xdr:twoCellAnchor>
  <xdr:twoCellAnchor editAs="oneCell">
    <xdr:from>
      <xdr:col>3</xdr:col>
      <xdr:colOff>235529</xdr:colOff>
      <xdr:row>16</xdr:row>
      <xdr:rowOff>152401</xdr:rowOff>
    </xdr:from>
    <xdr:to>
      <xdr:col>3</xdr:col>
      <xdr:colOff>394857</xdr:colOff>
      <xdr:row>17</xdr:row>
      <xdr:rowOff>138547</xdr:rowOff>
    </xdr:to>
    <xdr:pic>
      <xdr:nvPicPr>
        <xdr:cNvPr id="46" name="Graphic 45" descr="Hourglass Finished with solid fill">
          <a:extLst>
            <a:ext uri="{FF2B5EF4-FFF2-40B4-BE49-F238E27FC236}">
              <a16:creationId xmlns:a16="http://schemas.microsoft.com/office/drawing/2014/main" id="{00000000-0008-0000-0700-00002E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253838" y="2923310"/>
          <a:ext cx="159328" cy="159328"/>
        </a:xfrm>
        <a:prstGeom prst="rect">
          <a:avLst/>
        </a:prstGeom>
      </xdr:spPr>
    </xdr:pic>
    <xdr:clientData/>
  </xdr:twoCellAnchor>
  <xdr:twoCellAnchor editAs="oneCell">
    <xdr:from>
      <xdr:col>3</xdr:col>
      <xdr:colOff>221673</xdr:colOff>
      <xdr:row>9</xdr:row>
      <xdr:rowOff>166255</xdr:rowOff>
    </xdr:from>
    <xdr:to>
      <xdr:col>3</xdr:col>
      <xdr:colOff>394855</xdr:colOff>
      <xdr:row>10</xdr:row>
      <xdr:rowOff>166255</xdr:rowOff>
    </xdr:to>
    <xdr:pic>
      <xdr:nvPicPr>
        <xdr:cNvPr id="48" name="Graphic 47" descr="Money with solid fill">
          <a:extLst>
            <a:ext uri="{FF2B5EF4-FFF2-40B4-BE49-F238E27FC236}">
              <a16:creationId xmlns:a16="http://schemas.microsoft.com/office/drawing/2014/main" id="{00000000-0008-0000-0700-00003000000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239982" y="1724891"/>
          <a:ext cx="173182" cy="173182"/>
        </a:xfrm>
        <a:prstGeom prst="rect">
          <a:avLst/>
        </a:prstGeom>
      </xdr:spPr>
    </xdr:pic>
    <xdr:clientData/>
  </xdr:twoCellAnchor>
  <xdr:twoCellAnchor editAs="oneCell">
    <xdr:from>
      <xdr:col>14</xdr:col>
      <xdr:colOff>512999</xdr:colOff>
      <xdr:row>20</xdr:row>
      <xdr:rowOff>118218</xdr:rowOff>
    </xdr:from>
    <xdr:to>
      <xdr:col>16</xdr:col>
      <xdr:colOff>361627</xdr:colOff>
      <xdr:row>31</xdr:row>
      <xdr:rowOff>154984</xdr:rowOff>
    </xdr:to>
    <mc:AlternateContent xmlns:mc="http://schemas.openxmlformats.org/markup-compatibility/2006" xmlns:a14="http://schemas.microsoft.com/office/drawing/2010/main">
      <mc:Choice Requires="a14">
        <xdr:graphicFrame macro="">
          <xdr:nvGraphicFramePr>
            <xdr:cNvPr id="49" name="Representative 3">
              <a:extLst>
                <a:ext uri="{FF2B5EF4-FFF2-40B4-BE49-F238E27FC236}">
                  <a16:creationId xmlns:a16="http://schemas.microsoft.com/office/drawing/2014/main" id="{00000000-0008-0000-0700-000031000000}"/>
                </a:ext>
              </a:extLst>
            </xdr:cNvPr>
            <xdr:cNvGraphicFramePr/>
          </xdr:nvGraphicFramePr>
          <xdr:xfrm>
            <a:off x="0" y="0"/>
            <a:ext cx="0" cy="0"/>
          </xdr:xfrm>
          <a:graphic>
            <a:graphicData uri="http://schemas.microsoft.com/office/drawing/2010/slicer">
              <sle:slicer xmlns:sle="http://schemas.microsoft.com/office/drawing/2010/slicer" name="Representative 3"/>
            </a:graphicData>
          </a:graphic>
        </xdr:graphicFrame>
      </mc:Choice>
      <mc:Fallback xmlns="">
        <xdr:sp macro="" textlink="">
          <xdr:nvSpPr>
            <xdr:cNvPr id="0" name=""/>
            <xdr:cNvSpPr>
              <a:spLocks noTextEdit="1"/>
            </xdr:cNvSpPr>
          </xdr:nvSpPr>
          <xdr:spPr>
            <a:xfrm>
              <a:off x="8871187" y="3690093"/>
              <a:ext cx="1182128" cy="20012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443947</xdr:colOff>
      <xdr:row>3</xdr:row>
      <xdr:rowOff>59635</xdr:rowOff>
    </xdr:from>
    <xdr:to>
      <xdr:col>11</xdr:col>
      <xdr:colOff>619931</xdr:colOff>
      <xdr:row>16</xdr:row>
      <xdr:rowOff>0</xdr:rowOff>
    </xdr:to>
    <xdr:graphicFrame macro="">
      <xdr:nvGraphicFramePr>
        <xdr:cNvPr id="51" name="Chart 50">
          <a:extLst>
            <a:ext uri="{FF2B5EF4-FFF2-40B4-BE49-F238E27FC236}">
              <a16:creationId xmlns:a16="http://schemas.microsoft.com/office/drawing/2014/main" id="{00000000-0008-0000-0700-00003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172368</xdr:colOff>
      <xdr:row>3</xdr:row>
      <xdr:rowOff>110279</xdr:rowOff>
    </xdr:from>
    <xdr:to>
      <xdr:col>14</xdr:col>
      <xdr:colOff>531387</xdr:colOff>
      <xdr:row>15</xdr:row>
      <xdr:rowOff>2732</xdr:rowOff>
    </xdr:to>
    <xdr:graphicFrame macro="">
      <xdr:nvGraphicFramePr>
        <xdr:cNvPr id="5" name="Chart 4">
          <a:extLst>
            <a:ext uri="{FF2B5EF4-FFF2-40B4-BE49-F238E27FC236}">
              <a16:creationId xmlns:a16="http://schemas.microsoft.com/office/drawing/2014/main" id="{00000000-0008-0000-07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507598</xdr:colOff>
      <xdr:row>17</xdr:row>
      <xdr:rowOff>51661</xdr:rowOff>
    </xdr:from>
    <xdr:to>
      <xdr:col>13</xdr:col>
      <xdr:colOff>667089</xdr:colOff>
      <xdr:row>35</xdr:row>
      <xdr:rowOff>116237</xdr:rowOff>
    </xdr:to>
    <xdr:sp macro="" textlink="">
      <xdr:nvSpPr>
        <xdr:cNvPr id="15" name="Rectangle 14">
          <a:extLst>
            <a:ext uri="{FF2B5EF4-FFF2-40B4-BE49-F238E27FC236}">
              <a16:creationId xmlns:a16="http://schemas.microsoft.com/office/drawing/2014/main" id="{00000000-0008-0000-0700-00000F000000}"/>
            </a:ext>
          </a:extLst>
        </xdr:cNvPr>
        <xdr:cNvSpPr/>
      </xdr:nvSpPr>
      <xdr:spPr>
        <a:xfrm>
          <a:off x="2884005" y="3125492"/>
          <a:ext cx="5532237" cy="331922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427971</xdr:colOff>
      <xdr:row>18</xdr:row>
      <xdr:rowOff>107904</xdr:rowOff>
    </xdr:from>
    <xdr:to>
      <xdr:col>13</xdr:col>
      <xdr:colOff>584548</xdr:colOff>
      <xdr:row>33</xdr:row>
      <xdr:rowOff>156574</xdr:rowOff>
    </xdr:to>
    <xdr:graphicFrame macro="">
      <xdr:nvGraphicFramePr>
        <xdr:cNvPr id="9" name="Chart 8">
          <a:extLst>
            <a:ext uri="{FF2B5EF4-FFF2-40B4-BE49-F238E27FC236}">
              <a16:creationId xmlns:a16="http://schemas.microsoft.com/office/drawing/2014/main" id="{00000000-0008-0000-07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536941</xdr:colOff>
      <xdr:row>18</xdr:row>
      <xdr:rowOff>44303</xdr:rowOff>
    </xdr:from>
    <xdr:to>
      <xdr:col>9</xdr:col>
      <xdr:colOff>513907</xdr:colOff>
      <xdr:row>34</xdr:row>
      <xdr:rowOff>26581</xdr:rowOff>
    </xdr:to>
    <xdr:graphicFrame macro="">
      <xdr:nvGraphicFramePr>
        <xdr:cNvPr id="10" name="Chart 9">
          <a:extLst>
            <a:ext uri="{FF2B5EF4-FFF2-40B4-BE49-F238E27FC236}">
              <a16:creationId xmlns:a16="http://schemas.microsoft.com/office/drawing/2014/main" id="{00000000-0008-0000-07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15</xdr:col>
      <xdr:colOff>86335</xdr:colOff>
      <xdr:row>2</xdr:row>
      <xdr:rowOff>51139</xdr:rowOff>
    </xdr:from>
    <xdr:to>
      <xdr:col>19</xdr:col>
      <xdr:colOff>245390</xdr:colOff>
      <xdr:row>15</xdr:row>
      <xdr:rowOff>64576</xdr:rowOff>
    </xdr:to>
    <xdr:graphicFrame macro="">
      <xdr:nvGraphicFramePr>
        <xdr:cNvPr id="8" name="Chart 7">
          <a:extLst>
            <a:ext uri="{FF2B5EF4-FFF2-40B4-BE49-F238E27FC236}">
              <a16:creationId xmlns:a16="http://schemas.microsoft.com/office/drawing/2014/main" id="{B1483C88-BCDB-449C-B3FF-2AE2FB48D5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19</xdr:col>
      <xdr:colOff>480908</xdr:colOff>
      <xdr:row>2</xdr:row>
      <xdr:rowOff>18570</xdr:rowOff>
    </xdr:from>
    <xdr:to>
      <xdr:col>23</xdr:col>
      <xdr:colOff>774913</xdr:colOff>
      <xdr:row>15</xdr:row>
      <xdr:rowOff>38747</xdr:rowOff>
    </xdr:to>
    <xdr:graphicFrame macro="">
      <xdr:nvGraphicFramePr>
        <xdr:cNvPr id="12" name="Chart 11">
          <a:extLst>
            <a:ext uri="{FF2B5EF4-FFF2-40B4-BE49-F238E27FC236}">
              <a16:creationId xmlns:a16="http://schemas.microsoft.com/office/drawing/2014/main" id="{FD7B0883-2441-4FD7-AFDC-C7A75EAD92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10</xdr:col>
      <xdr:colOff>178593</xdr:colOff>
      <xdr:row>23</xdr:row>
      <xdr:rowOff>23813</xdr:rowOff>
    </xdr:from>
    <xdr:to>
      <xdr:col>14</xdr:col>
      <xdr:colOff>500062</xdr:colOff>
      <xdr:row>39</xdr:row>
      <xdr:rowOff>23813</xdr:rowOff>
    </xdr:to>
    <xdr:sp macro="" textlink="">
      <xdr:nvSpPr>
        <xdr:cNvPr id="4" name="Rectangle 3">
          <a:extLst>
            <a:ext uri="{FF2B5EF4-FFF2-40B4-BE49-F238E27FC236}">
              <a16:creationId xmlns:a16="http://schemas.microsoft.com/office/drawing/2014/main" id="{00000000-0008-0000-0800-000004000000}"/>
            </a:ext>
          </a:extLst>
        </xdr:cNvPr>
        <xdr:cNvSpPr/>
      </xdr:nvSpPr>
      <xdr:spPr>
        <a:xfrm>
          <a:off x="9786937" y="4560094"/>
          <a:ext cx="3250406" cy="2857500"/>
        </a:xfrm>
        <a:prstGeom prst="rect">
          <a:avLst/>
        </a:prstGeom>
        <a:solidFill>
          <a:schemeClr val="bg2"/>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a:solidFill>
                <a:schemeClr val="tx1">
                  <a:lumMod val="85000"/>
                  <a:lumOff val="15000"/>
                </a:schemeClr>
              </a:solidFill>
            </a:rPr>
            <a:t>Surprise </a:t>
          </a:r>
          <a:r>
            <a:rPr lang="en-NZ" sz="2000">
              <a:solidFill>
                <a:schemeClr val="tx1">
                  <a:lumMod val="85000"/>
                  <a:lumOff val="15000"/>
                </a:schemeClr>
              </a:solidFill>
            </a:rPr>
            <a:t>🤫</a:t>
          </a:r>
          <a:br>
            <a:rPr lang="en-US" sz="1400">
              <a:solidFill>
                <a:schemeClr val="tx1">
                  <a:lumMod val="85000"/>
                  <a:lumOff val="15000"/>
                </a:schemeClr>
              </a:solidFill>
            </a:rPr>
          </a:br>
          <a:r>
            <a:rPr lang="en-US" sz="1050">
              <a:solidFill>
                <a:schemeClr val="tx1">
                  <a:lumMod val="85000"/>
                  <a:lumOff val="15000"/>
                </a:schemeClr>
              </a:solidFill>
            </a:rPr>
            <a:t>(revealed</a:t>
          </a:r>
          <a:r>
            <a:rPr lang="en-US" sz="1050" baseline="0">
              <a:solidFill>
                <a:schemeClr val="tx1">
                  <a:lumMod val="85000"/>
                  <a:lumOff val="15000"/>
                </a:schemeClr>
              </a:solidFill>
            </a:rPr>
            <a:t> in second part of this video)</a:t>
          </a:r>
          <a:endParaRPr lang="en-US" sz="1400">
            <a:solidFill>
              <a:schemeClr val="tx1">
                <a:lumMod val="85000"/>
                <a:lumOff val="15000"/>
              </a:schemeClr>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van" refreshedDate="46185.804832754628" createdVersion="8" refreshedVersion="8" minRefreshableVersion="3" recordCount="1000" xr:uid="{AE592627-7F18-45C5-BBDB-8907449D2D4B}">
  <cacheSource type="worksheet">
    <worksheetSource name="calls"/>
  </cacheSource>
  <cacheFields count="10">
    <cacheField name="Call number" numFmtId="0">
      <sharedItems/>
    </cacheField>
    <cacheField name="Customer ID" numFmtId="0">
      <sharedItems count="15">
        <s v="C0003"/>
        <s v="C0004"/>
        <s v="C0005"/>
        <s v="C0014"/>
        <s v="C0011"/>
        <s v="C0007"/>
        <s v="C0010"/>
        <s v="C0013"/>
        <s v="C0002"/>
        <s v="C0009"/>
        <s v="C0006"/>
        <s v="C0015"/>
        <s v="C0012"/>
        <s v="C0001"/>
        <s v="C0008"/>
      </sharedItems>
    </cacheField>
    <cacheField name="Duration" numFmtId="0">
      <sharedItems containsSemiMixedTypes="0" containsString="0" containsNumber="1" containsInteger="1" minValue="2" maxValue="176" count="164">
        <n v="116"/>
        <n v="119"/>
        <n v="68"/>
        <n v="128"/>
        <n v="49"/>
        <n v="84"/>
        <n v="103"/>
        <n v="31"/>
        <n v="44"/>
        <n v="102"/>
        <n v="135"/>
        <n v="98"/>
        <n v="139"/>
        <n v="48"/>
        <n v="176"/>
        <n v="99"/>
        <n v="28"/>
        <n v="54"/>
        <n v="38"/>
        <n v="67"/>
        <n v="58"/>
        <n v="73"/>
        <n v="81"/>
        <n v="155"/>
        <n v="80"/>
        <n v="82"/>
        <n v="29"/>
        <n v="160"/>
        <n v="105"/>
        <n v="75"/>
        <n v="94"/>
        <n v="90"/>
        <n v="106"/>
        <n v="74"/>
        <n v="89"/>
        <n v="132"/>
        <n v="13"/>
        <n v="131"/>
        <n v="104"/>
        <n v="37"/>
        <n v="149"/>
        <n v="100"/>
        <n v="79"/>
        <n v="157"/>
        <n v="59"/>
        <n v="83"/>
        <n v="118"/>
        <n v="63"/>
        <n v="95"/>
        <n v="130"/>
        <n v="110"/>
        <n v="71"/>
        <n v="147"/>
        <n v="69"/>
        <n v="50"/>
        <n v="124"/>
        <n v="141"/>
        <n v="168"/>
        <n v="101"/>
        <n v="114"/>
        <n v="42"/>
        <n v="145"/>
        <n v="43"/>
        <n v="62"/>
        <n v="45"/>
        <n v="137"/>
        <n v="109"/>
        <n v="78"/>
        <n v="47"/>
        <n v="87"/>
        <n v="143"/>
        <n v="55"/>
        <n v="152"/>
        <n v="60"/>
        <n v="96"/>
        <n v="111"/>
        <n v="127"/>
        <n v="76"/>
        <n v="30"/>
        <n v="19"/>
        <n v="27"/>
        <n v="32"/>
        <n v="57"/>
        <n v="65"/>
        <n v="61"/>
        <n v="154"/>
        <n v="115"/>
        <n v="138"/>
        <n v="153"/>
        <n v="151"/>
        <n v="64"/>
        <n v="6"/>
        <n v="129"/>
        <n v="53"/>
        <n v="166"/>
        <n v="70"/>
        <n v="86"/>
        <n v="113"/>
        <n v="21"/>
        <n v="107"/>
        <n v="11"/>
        <n v="40"/>
        <n v="92"/>
        <n v="41"/>
        <n v="134"/>
        <n v="20"/>
        <n v="85"/>
        <n v="93"/>
        <n v="56"/>
        <n v="46"/>
        <n v="121"/>
        <n v="144"/>
        <n v="142"/>
        <n v="72"/>
        <n v="123"/>
        <n v="140"/>
        <n v="126"/>
        <n v="88"/>
        <n v="125"/>
        <n v="158"/>
        <n v="77"/>
        <n v="39"/>
        <n v="133"/>
        <n v="23"/>
        <n v="150"/>
        <n v="36"/>
        <n v="8"/>
        <n v="159"/>
        <n v="25"/>
        <n v="91"/>
        <n v="108"/>
        <n v="66"/>
        <n v="17"/>
        <n v="165"/>
        <n v="120"/>
        <n v="24"/>
        <n v="163"/>
        <n v="26"/>
        <n v="15"/>
        <n v="156"/>
        <n v="14"/>
        <n v="112"/>
        <n v="35"/>
        <n v="52"/>
        <n v="34"/>
        <n v="51"/>
        <n v="117"/>
        <n v="33"/>
        <n v="146"/>
        <n v="148"/>
        <n v="122"/>
        <n v="136"/>
        <n v="172"/>
        <n v="162"/>
        <n v="10"/>
        <n v="164"/>
        <n v="97"/>
        <n v="18"/>
        <n v="12"/>
        <n v="4"/>
        <n v="173"/>
        <n v="171"/>
        <n v="2"/>
        <n v="7"/>
      </sharedItems>
      <fieldGroup par="7"/>
    </cacheField>
    <cacheField name="Representative" numFmtId="2">
      <sharedItems count="5">
        <s v="R05"/>
        <s v="R02"/>
        <s v="R01"/>
        <s v="R04"/>
        <s v="R03"/>
      </sharedItems>
    </cacheField>
    <cacheField name="Date of Call" numFmtId="164">
      <sharedItems containsSemiMixedTypes="0" containsNonDate="0" containsDate="1" containsString="0" minDate="2023-01-01T00:00:00" maxDate="2024-01-01T00:00:00" count="330">
        <d v="2023-01-01T00:00:00"/>
        <d v="2023-01-02T00:00:00"/>
        <d v="2023-01-03T00:00:00"/>
        <d v="2023-01-04T00:00:00"/>
        <d v="2023-01-05T00:00:00"/>
        <d v="2023-01-06T00:00:00"/>
        <d v="2023-01-07T00:00:00"/>
        <d v="2023-01-08T00:00:00"/>
        <d v="2023-01-09T00:00:00"/>
        <d v="2023-01-10T00:00:00"/>
        <d v="2023-01-12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30T00:00:00"/>
        <d v="2023-01-31T00:00:00"/>
        <d v="2023-02-01T00:00:00"/>
        <d v="2023-02-02T00:00:00"/>
        <d v="2023-02-04T00:00:00"/>
        <d v="2023-02-05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6T00:00:00"/>
        <d v="2023-05-07T00:00:00"/>
        <d v="2023-05-08T00:00:00"/>
        <d v="2023-05-09T00:00:00"/>
        <d v="2023-05-10T00:00:00"/>
        <d v="2023-05-11T00:00:00"/>
        <d v="2023-05-12T00:00:00"/>
        <d v="2023-05-14T00:00:00"/>
        <d v="2023-05-15T00:00:00"/>
        <d v="2023-05-16T00:00:00"/>
        <d v="2023-05-17T00:00:00"/>
        <d v="2023-05-18T00:00:00"/>
        <d v="2023-05-19T00:00:00"/>
        <d v="2023-05-21T00:00:00"/>
        <d v="2023-05-22T00:00:00"/>
        <d v="2023-05-23T00:00:00"/>
        <d v="2023-05-24T00:00:00"/>
        <d v="2023-05-25T00:00:00"/>
        <d v="2023-05-26T00:00:00"/>
        <d v="2023-05-27T00:00:00"/>
        <d v="2023-05-28T00:00:00"/>
        <d v="2023-05-29T00:00:00"/>
        <d v="2023-05-30T00:00:00"/>
        <d v="2023-05-31T00:00:00"/>
        <d v="2023-06-01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3T00:00:00"/>
        <d v="2023-06-24T00:00:00"/>
        <d v="2023-06-25T00:00:00"/>
        <d v="2023-06-26T00:00:00"/>
        <d v="2023-06-27T00:00:00"/>
        <d v="2023-06-28T00:00:00"/>
        <d v="2023-06-29T00:00:00"/>
        <d v="2023-06-30T00:00:00"/>
        <d v="2023-07-01T00:00:00"/>
        <d v="2023-07-02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5T00:00:00"/>
        <d v="2023-07-26T00:00:00"/>
        <d v="2023-07-27T00:00:00"/>
        <d v="2023-07-28T00:00:00"/>
        <d v="2023-07-29T00:00:00"/>
        <d v="2023-07-31T00:00:00"/>
        <d v="2023-08-02T00:00:00"/>
        <d v="2023-08-03T00:00:00"/>
        <d v="2023-08-04T00:00:00"/>
        <d v="2023-08-05T00:00:00"/>
        <d v="2023-08-06T00:00:00"/>
        <d v="2023-08-07T00:00:00"/>
        <d v="2023-08-08T00:00:00"/>
        <d v="2023-08-10T00:00:00"/>
        <d v="2023-08-12T00:00:00"/>
        <d v="2023-08-13T00:00:00"/>
        <d v="2023-08-16T00:00:00"/>
        <d v="2023-08-17T00:00:00"/>
        <d v="2023-08-18T00:00:00"/>
        <d v="2023-08-19T00:00:00"/>
        <d v="2023-08-20T00:00:00"/>
        <d v="2023-08-21T00:00:00"/>
        <d v="2023-08-23T00:00:00"/>
        <d v="2023-08-24T00:00:00"/>
        <d v="2023-08-25T00:00:00"/>
        <d v="2023-08-26T00:00:00"/>
        <d v="2023-08-27T00:00:00"/>
        <d v="2023-08-29T00:00:00"/>
        <d v="2023-08-30T00:00:00"/>
        <d v="2023-08-31T00:00:00"/>
        <d v="2023-09-01T00:00:00"/>
        <d v="2023-09-03T00:00:00"/>
        <d v="2023-09-04T00:00:00"/>
        <d v="2023-09-05T00:00:00"/>
        <d v="2023-09-06T00:00:00"/>
        <d v="2023-09-07T00:00:00"/>
        <d v="2023-09-08T00:00:00"/>
        <d v="2023-09-09T00:00:00"/>
        <d v="2023-09-10T00:00:00"/>
        <d v="2023-09-12T00:00:00"/>
        <d v="2023-09-13T00:00:00"/>
        <d v="2023-09-14T00:00:00"/>
        <d v="2023-09-15T00:00:00"/>
        <d v="2023-09-16T00:00:00"/>
        <d v="2023-09-17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3T00:00:00"/>
        <d v="2023-11-24T00:00:00"/>
        <d v="2023-11-26T00:00:00"/>
        <d v="2023-11-27T00:00:00"/>
        <d v="2023-11-28T00:00:00"/>
        <d v="2023-11-29T00:00:00"/>
        <d v="2023-11-30T00:00:00"/>
        <d v="2023-12-01T00:00:00"/>
        <d v="2023-12-02T00:00:00"/>
        <d v="2023-12-03T00:00:00"/>
        <d v="2023-12-04T00:00:00"/>
        <d v="2023-12-05T00:00:00"/>
        <d v="2023-12-07T00:00:00"/>
        <d v="2023-12-08T00:00:00"/>
        <d v="2023-12-09T00:00:00"/>
        <d v="2023-12-13T00:00:00"/>
        <d v="2023-12-14T00:00:00"/>
        <d v="2023-12-15T00:00:00"/>
        <d v="2023-12-16T00:00:00"/>
        <d v="2023-12-17T00:00:00"/>
        <d v="2023-12-19T00:00:00"/>
        <d v="2023-12-20T00:00:00"/>
        <d v="2023-12-21T00:00:00"/>
        <d v="2023-12-24T00:00:00"/>
        <d v="2023-12-25T00:00:00"/>
        <d v="2023-12-26T00:00:00"/>
        <d v="2023-12-27T00:00:00"/>
        <d v="2023-12-28T00:00:00"/>
        <d v="2023-12-29T00:00:00"/>
        <d v="2023-12-30T00:00:00"/>
        <d v="2023-12-31T00:00:00"/>
      </sharedItems>
      <fieldGroup par="9"/>
    </cacheField>
    <cacheField name="Purchase Amount" numFmtId="0">
      <sharedItems containsSemiMixedTypes="0" containsString="0" containsNumber="1" containsInteger="1" minValue="20" maxValue="225"/>
    </cacheField>
    <cacheField name="Satisfaction Rating" numFmtId="0">
      <sharedItems containsSemiMixedTypes="0" containsString="0" containsNumber="1" minValue="0" maxValue="5"/>
    </cacheField>
    <cacheField name="Duration2" numFmtId="0" databaseField="0">
      <fieldGroup base="2">
        <discretePr count="164">
          <x v="3"/>
          <x v="3"/>
          <x v="3"/>
          <x v="4"/>
          <x v="2"/>
          <x v="3"/>
          <x v="3"/>
          <x v="2"/>
          <x v="2"/>
          <x v="3"/>
          <x v="4"/>
          <x v="3"/>
          <x v="4"/>
          <x v="2"/>
          <x v="4"/>
          <x v="3"/>
          <x v="1"/>
          <x v="2"/>
          <x v="2"/>
          <x v="3"/>
          <x v="2"/>
          <x v="3"/>
          <x v="3"/>
          <x v="4"/>
          <x v="3"/>
          <x v="3"/>
          <x v="1"/>
          <x v="4"/>
          <x v="3"/>
          <x v="3"/>
          <x v="3"/>
          <x v="3"/>
          <x v="3"/>
          <x v="3"/>
          <x v="3"/>
          <x v="4"/>
          <x v="1"/>
          <x v="4"/>
          <x v="3"/>
          <x v="2"/>
          <x v="4"/>
          <x v="3"/>
          <x v="3"/>
          <x v="4"/>
          <x v="2"/>
          <x v="3"/>
          <x v="3"/>
          <x v="3"/>
          <x v="3"/>
          <x v="4"/>
          <x v="3"/>
          <x v="3"/>
          <x v="4"/>
          <x v="3"/>
          <x v="2"/>
          <x v="4"/>
          <x v="4"/>
          <x v="4"/>
          <x v="3"/>
          <x v="3"/>
          <x v="2"/>
          <x v="4"/>
          <x v="2"/>
          <x v="3"/>
          <x v="2"/>
          <x v="4"/>
          <x v="3"/>
          <x v="3"/>
          <x v="2"/>
          <x v="3"/>
          <x v="4"/>
          <x v="2"/>
          <x v="4"/>
          <x v="2"/>
          <x v="3"/>
          <x v="3"/>
          <x v="4"/>
          <x v="3"/>
          <x v="1"/>
          <x v="1"/>
          <x v="1"/>
          <x v="2"/>
          <x v="2"/>
          <x v="3"/>
          <x v="3"/>
          <x v="4"/>
          <x v="3"/>
          <x v="4"/>
          <x v="4"/>
          <x v="4"/>
          <x v="3"/>
          <x v="0"/>
          <x v="4"/>
          <x v="2"/>
          <x v="4"/>
          <x v="3"/>
          <x v="3"/>
          <x v="3"/>
          <x v="1"/>
          <x v="3"/>
          <x v="1"/>
          <x v="2"/>
          <x v="3"/>
          <x v="2"/>
          <x v="4"/>
          <x v="1"/>
          <x v="3"/>
          <x v="3"/>
          <x v="2"/>
          <x v="2"/>
          <x v="4"/>
          <x v="4"/>
          <x v="4"/>
          <x v="3"/>
          <x v="4"/>
          <x v="4"/>
          <x v="4"/>
          <x v="3"/>
          <x v="4"/>
          <x v="4"/>
          <x v="3"/>
          <x v="2"/>
          <x v="4"/>
          <x v="1"/>
          <x v="4"/>
          <x v="2"/>
          <x v="0"/>
          <x v="4"/>
          <x v="1"/>
          <x v="3"/>
          <x v="3"/>
          <x v="3"/>
          <x v="1"/>
          <x v="4"/>
          <x v="3"/>
          <x v="1"/>
          <x v="4"/>
          <x v="1"/>
          <x v="1"/>
          <x v="4"/>
          <x v="1"/>
          <x v="3"/>
          <x v="2"/>
          <x v="2"/>
          <x v="2"/>
          <x v="2"/>
          <x v="3"/>
          <x v="2"/>
          <x v="4"/>
          <x v="4"/>
          <x v="4"/>
          <x v="4"/>
          <x v="4"/>
          <x v="4"/>
          <x v="0"/>
          <x v="4"/>
          <x v="3"/>
          <x v="1"/>
          <x v="1"/>
          <x v="0"/>
          <x v="4"/>
          <x v="4"/>
          <x v="0"/>
          <x v="0"/>
        </discretePr>
        <groupItems count="5">
          <s v="Group1"/>
          <s v="Group2"/>
          <s v="Group3"/>
          <s v="Group4"/>
          <s v="Group5"/>
        </groupItems>
      </fieldGroup>
    </cacheField>
    <cacheField name="Days (Date of Call)" numFmtId="0" databaseField="0">
      <fieldGroup base="4">
        <rangePr groupBy="days" startDate="2023-01-01T00:00:00" endDate="2024-01-01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Months (Date of Call)" numFmtId="0" databaseField="0">
      <fieldGroup base="4">
        <rangePr groupBy="months" startDate="2023-01-01T00:00:00" endDate="2024-01-01T00:00:00"/>
        <groupItems count="14">
          <s v="&lt;01-01-2023"/>
          <s v="Jan"/>
          <s v="Feb"/>
          <s v="Mar"/>
          <s v="Apr"/>
          <s v="May"/>
          <s v="Jun"/>
          <s v="Jul"/>
          <s v="Aug"/>
          <s v="Sep"/>
          <s v="Oct"/>
          <s v="Nov"/>
          <s v="Dec"/>
          <s v="&gt;01-01-2024"/>
        </groupItems>
      </fieldGroup>
    </cacheField>
  </cacheFields>
  <extLst>
    <ext xmlns:x14="http://schemas.microsoft.com/office/spreadsheetml/2009/9/main" uri="{725AE2AE-9491-48be-B2B4-4EB974FC3084}">
      <x14:pivotCacheDefinition pivotCacheId="23442761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van" refreshedDate="46194.668737615742" backgroundQuery="1" createdVersion="8" refreshedVersion="8" minRefreshableVersion="3" recordCount="0" supportSubquery="1" supportAdvancedDrill="1" xr:uid="{874402CE-591A-47A9-8078-290C23893A1C}">
  <cacheSource type="external" connectionId="2"/>
  <cacheFields count="3">
    <cacheField name="[customers].[City].[City]" caption="City" numFmtId="0" hierarchy="13" level="1">
      <sharedItems count="3">
        <s v="Cincinnati"/>
        <s v="Cleveland"/>
        <s v="Columbus"/>
      </sharedItems>
    </cacheField>
    <cacheField name="[customers].[Gedner].[Gedner]" caption="Gedner" numFmtId="0" hierarchy="11" level="1">
      <sharedItems count="2">
        <s v="Female"/>
        <s v="Male"/>
      </sharedItems>
    </cacheField>
    <cacheField name="[Measures].[Call Count]" caption="Call Count" numFmtId="0" hierarchy="15" level="32767"/>
  </cacheFields>
  <cacheHierarchies count="24">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Rounded rating]" caption="Rounded rating" attribute="1" defaultMemberUniqueName="[calls].[Rounded rating].[All]" allUniqueName="[calls].[Rounded rating].[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alls].[day]" caption="day" attribute="1" defaultMemberUniqueName="[calls].[day].[All]" allUniqueName="[calls].[day].[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van" refreshedDate="46194.668749305558" backgroundQuery="1" createdVersion="8" refreshedVersion="8" minRefreshableVersion="3" recordCount="0" supportSubquery="1" supportAdvancedDrill="1" xr:uid="{5D82D9AC-27F1-48D0-BD87-27AB73F0BE12}">
  <cacheSource type="external" connectionId="2"/>
  <cacheFields count="5">
    <cacheField name="[Measures].[Call Count]" caption="Call Count" numFmtId="0" hierarchy="15" level="32767"/>
    <cacheField name="[Measures].[Total Amount]" caption="Total Amount" numFmtId="0" hierarchy="16" level="32767"/>
    <cacheField name="[Measures].[Total Duration]" caption="Total Duration" numFmtId="0" hierarchy="17" level="32767"/>
    <cacheField name="[Measures].[Avg Rating]" caption="Avg Rating" numFmtId="0" hierarchy="18" level="32767"/>
    <cacheField name="[Measures].[5* Calls]" caption="5* Calls" numFmtId="0" hierarchy="19" level="32767"/>
  </cacheFields>
  <cacheHierarchies count="24">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Rounded rating]" caption="Rounded rating" attribute="1" defaultMemberUniqueName="[calls].[Rounded rating].[All]" allUniqueName="[calls].[Rounded rating].[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alls].[day]" caption="day" attribute="1" defaultMemberUniqueName="[calls].[day].[All]" allUniqueName="[calls].[day].[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van" refreshedDate="46194.668738657405" backgroundQuery="1" createdVersion="8" refreshedVersion="8" minRefreshableVersion="3" recordCount="0" supportSubquery="1" supportAdvancedDrill="1" xr:uid="{13C4E462-9D19-4C16-A7C8-AEAD67A0077F}">
  <cacheSource type="external" connectionId="2"/>
  <cacheFields count="3">
    <cacheField name="[calls].[Representative].[Representative]" caption="Representative" numFmtId="0" hierarchy="3" level="1">
      <sharedItems count="5">
        <s v="R01"/>
        <s v="R02"/>
        <s v="R03"/>
        <s v="R04"/>
        <s v="R05"/>
      </sharedItems>
    </cacheField>
    <cacheField name="[Measures].[Call Count]" caption="Call Count" numFmtId="0" hierarchy="15" level="32767"/>
    <cacheField name="[Measures].[Total Amount]" caption="Total Amount" numFmtId="0" hierarchy="16" level="32767"/>
  </cacheFields>
  <cacheHierarchies count="24">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Rounded rating]" caption="Rounded rating" attribute="1" defaultMemberUniqueName="[calls].[Rounded rating].[All]" allUniqueName="[calls].[Rounded rating].[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alls].[day]" caption="day" attribute="1" defaultMemberUniqueName="[calls].[day].[All]" allUniqueName="[calls].[day].[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van" refreshedDate="46194.740646296297" backgroundQuery="1" createdVersion="8" refreshedVersion="8" minRefreshableVersion="3" recordCount="0" supportSubquery="1" supportAdvancedDrill="1" xr:uid="{D3EF5D25-3AB7-4BC9-93E2-BBC74C8B88CF}">
  <cacheSource type="external" connectionId="2"/>
  <cacheFields count="4">
    <cacheField name="[calls].[Representative].[Representative]" caption="Representative" numFmtId="0" hierarchy="3" level="1">
      <sharedItems count="5">
        <s v="R01"/>
        <s v="R02"/>
        <s v="R03"/>
        <s v="R04"/>
        <s v="R05"/>
      </sharedItems>
    </cacheField>
    <cacheField name="[customers].[City].[City]" caption="City" numFmtId="0" hierarchy="13" level="1">
      <sharedItems count="3">
        <s v="Cincinnati"/>
        <s v="Cleveland"/>
        <s v="Columbus"/>
      </sharedItems>
    </cacheField>
    <cacheField name="[customers].[Customer ID].[Customer ID]" caption="Customer ID" numFmtId="0" hierarchy="10" level="1">
      <sharedItems count="15">
        <s v="C0003"/>
        <s v="C0004"/>
        <s v="C0011"/>
        <s v="C0012"/>
        <s v="C0002"/>
        <s v="C0007"/>
        <s v="C0008"/>
        <s v="C0010"/>
        <s v="C0013"/>
        <s v="C0015"/>
        <s v="C0001"/>
        <s v="C0005"/>
        <s v="C0006"/>
        <s v="C0009"/>
        <s v="C0014"/>
      </sharedItems>
    </cacheField>
    <cacheField name="[Measures].[Sum of Purchase Amount]" caption="Sum of Purchase Amount" numFmtId="0" hierarchy="23" level="32767"/>
  </cacheFields>
  <cacheHierarchies count="24">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Rounded rating]" caption="Rounded rating" attribute="1" defaultMemberUniqueName="[calls].[Rounded rating].[All]" allUniqueName="[calls].[Rounded rating].[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alls].[day]" caption="day" attribute="1" defaultMemberUniqueName="[calls].[day].[All]" allUniqueName="[calls].[day].[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2"/>
      </fieldsUsage>
    </cacheHierarchy>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oneField="1" hidden="1">
      <fieldsUsage count="1">
        <fieldUsage x="3"/>
      </fieldsUsage>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van" refreshedDate="46203.820075115742" backgroundQuery="1" createdVersion="8" refreshedVersion="8" minRefreshableVersion="3" recordCount="0" supportSubquery="1" supportAdvancedDrill="1" xr:uid="{E245EF75-9EEF-477F-A195-78B69FDA0740}">
  <cacheSource type="external" connectionId="2"/>
  <cacheFields count="6">
    <cacheField name="[Measures].[Call Count]" caption="Call Count" numFmtId="0" hierarchy="15" level="32767"/>
    <cacheField name="[Measures].[Total Amount]" caption="Total Amount" numFmtId="0" hierarchy="16" level="32767"/>
    <cacheField name="[Measures].[Total Duration]" caption="Total Duration" numFmtId="0" hierarchy="17" level="32767"/>
    <cacheField name="[Measures].[Avg Rating]" caption="Avg Rating" numFmtId="0" hierarchy="18" level="32767"/>
    <cacheField name="[Measures].[5* Calls]" caption="5* Calls" numFmtId="0" hierarchy="19" level="32767"/>
    <cacheField name="[calls].[Representative].[Representative]" caption="Representative" numFmtId="0" hierarchy="3" level="1">
      <sharedItems containsSemiMixedTypes="0" containsNonDate="0" containsString="0"/>
    </cacheField>
  </cacheFields>
  <cacheHierarchies count="24">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Rounded rating]" caption="Rounded rating" attribute="1" defaultMemberUniqueName="[calls].[Rounded rating].[All]" allUniqueName="[calls].[Rounded rating].[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alls].[day]" caption="day" attribute="1" defaultMemberUniqueName="[calls].[day].[All]" allUniqueName="[calls].[day].[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van" refreshedDate="46203.820075694442" backgroundQuery="1" createdVersion="8" refreshedVersion="8" minRefreshableVersion="3" recordCount="0" supportSubquery="1" supportAdvancedDrill="1" xr:uid="{E0CC8DC6-2646-458F-95D9-B234CC838E43}">
  <cacheSource type="external" connectionId="2"/>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3T00:00:00" maxDate="2023-12-31T00:00:00" count="147">
        <d v="2023-01-03T00:00:00"/>
        <d v="2023-01-07T00:00:00"/>
        <d v="2023-01-08T00:00:00"/>
        <d v="2023-01-10T00:00:00"/>
        <d v="2023-01-17T00:00:00"/>
        <d v="2023-01-21T00:00:00"/>
        <d v="2023-01-24T00:00:00"/>
        <d v="2023-01-25T00:00:00"/>
        <d v="2023-01-27T00:00:00"/>
        <d v="2023-02-01T00:00:00"/>
        <d v="2023-02-07T00:00:00"/>
        <d v="2023-02-11T00:00:00"/>
        <d v="2023-02-13T00:00:00"/>
        <d v="2023-02-14T00:00:00"/>
        <d v="2023-02-15T00:00:00"/>
        <d v="2023-02-21T00:00:00"/>
        <d v="2023-02-23T00:00:00"/>
        <d v="2023-02-26T00:00:00"/>
        <d v="2023-02-28T00:00:00"/>
        <d v="2023-03-01T00:00:00"/>
        <d v="2023-03-02T00:00:00"/>
        <d v="2023-03-04T00:00:00"/>
        <d v="2023-03-06T00:00:00"/>
        <d v="2023-03-07T00:00:00"/>
        <d v="2023-03-10T00:00:00"/>
        <d v="2023-03-11T00:00:00"/>
        <d v="2023-03-12T00:00:00"/>
        <d v="2023-03-13T00:00:00"/>
        <d v="2023-03-14T00:00:00"/>
        <d v="2023-03-15T00:00:00"/>
        <d v="2023-03-16T00:00:00"/>
        <d v="2023-03-18T00:00:00"/>
        <d v="2023-03-21T00:00:00"/>
        <d v="2023-03-22T00:00:00"/>
        <d v="2023-03-23T00:00:00"/>
        <d v="2023-03-24T00:00:00"/>
        <d v="2023-03-26T00:00:00"/>
        <d v="2023-03-27T00:00:00"/>
        <d v="2023-03-29T00:00:00"/>
        <d v="2023-04-03T00:00:00"/>
        <d v="2023-04-07T00:00:00"/>
        <d v="2023-04-08T00:00:00"/>
        <d v="2023-04-09T00:00:00"/>
        <d v="2023-04-10T00:00:00"/>
        <d v="2023-04-11T00:00:00"/>
        <d v="2023-04-14T00:00:00"/>
        <d v="2023-04-16T00:00:00"/>
        <d v="2023-04-17T00:00:00"/>
        <d v="2023-04-21T00:00:00"/>
        <d v="2023-04-22T00:00:00"/>
        <d v="2023-04-23T00:00:00"/>
        <d v="2023-04-24T00:00:00"/>
        <d v="2023-04-27T00:00:00"/>
        <d v="2023-04-28T00:00:00"/>
        <d v="2023-04-29T00:00:00"/>
        <d v="2023-04-30T00:00:00"/>
        <d v="2023-05-02T00:00:00"/>
        <d v="2023-05-03T00:00:00"/>
        <d v="2023-05-06T00:00:00"/>
        <d v="2023-05-07T00:00:00"/>
        <d v="2023-05-10T00:00:00"/>
        <d v="2023-05-12T00:00:00"/>
        <d v="2023-05-14T00:00:00"/>
        <d v="2023-05-15T00:00:00"/>
        <d v="2023-05-16T00:00:00"/>
        <d v="2023-05-17T00:00:00"/>
        <d v="2023-05-22T00:00:00"/>
        <d v="2023-05-23T00:00:00"/>
        <d v="2023-05-25T00:00:00"/>
        <d v="2023-05-27T00:00:00"/>
        <d v="2023-05-29T00:00:00"/>
        <d v="2023-06-11T00:00:00"/>
        <d v="2023-06-15T00:00:00"/>
        <d v="2023-06-17T00:00:00"/>
        <d v="2023-06-18T00:00:00"/>
        <d v="2023-06-20T00:00:00"/>
        <d v="2023-06-24T00:00:00"/>
        <d v="2023-06-27T00:00:00"/>
        <d v="2023-06-29T00:00:00"/>
        <d v="2023-06-30T00:00:00"/>
        <d v="2023-07-01T00:00:00"/>
        <d v="2023-07-02T00:00:00"/>
        <d v="2023-07-05T00:00:00"/>
        <d v="2023-07-07T00:00:00"/>
        <d v="2023-07-08T00:00:00"/>
        <d v="2023-07-12T00:00:00"/>
        <d v="2023-07-15T00:00:00"/>
        <d v="2023-07-17T00:00:00"/>
        <d v="2023-07-18T00:00:00"/>
        <d v="2023-07-20T00:00:00"/>
        <d v="2023-07-21T00:00:00"/>
        <d v="2023-07-28T00:00:00"/>
        <d v="2023-07-29T00:00:00"/>
        <d v="2023-07-31T00:00:00"/>
        <d v="2023-08-04T00:00:00"/>
        <d v="2023-08-06T00:00:00"/>
        <d v="2023-08-13T00:00:00"/>
        <d v="2023-08-18T00:00:00"/>
        <d v="2023-08-19T00:00:00"/>
        <d v="2023-08-21T00:00:00"/>
        <d v="2023-08-23T00:00:00"/>
        <d v="2023-08-25T00:00:00"/>
        <d v="2023-08-26T00:00:00"/>
        <d v="2023-08-27T00:00:00"/>
        <d v="2023-09-01T00:00:00"/>
        <d v="2023-09-04T00:00:00"/>
        <d v="2023-09-06T00:00:00"/>
        <d v="2023-09-09T00:00:00"/>
        <d v="2023-09-24T00:00:00"/>
        <d v="2023-09-27T00:00:00"/>
        <d v="2023-09-28T00:00:00"/>
        <d v="2023-09-29T00:00:00"/>
        <d v="2023-09-30T00:00:00"/>
        <d v="2023-10-01T00:00:00"/>
        <d v="2023-10-03T00:00:00"/>
        <d v="2023-10-04T00:00:00"/>
        <d v="2023-10-05T00:00:00"/>
        <d v="2023-10-06T00:00:00"/>
        <d v="2023-10-10T00:00:00"/>
        <d v="2023-10-11T00:00:00"/>
        <d v="2023-10-12T00:00:00"/>
        <d v="2023-10-16T00:00:00"/>
        <d v="2023-10-19T00:00:00"/>
        <d v="2023-10-20T00:00:00"/>
        <d v="2023-10-22T00:00:00"/>
        <d v="2023-10-23T00:00:00"/>
        <d v="2023-10-28T00:00:00"/>
        <d v="2023-11-01T00:00:00"/>
        <d v="2023-11-02T00:00:00"/>
        <d v="2023-11-07T00:00:00"/>
        <d v="2023-11-09T00:00:00"/>
        <d v="2023-11-10T00:00:00"/>
        <d v="2023-11-11T00:00:00"/>
        <d v="2023-11-24T00:00:00"/>
        <d v="2023-11-26T00:00:00"/>
        <d v="2023-12-01T00:00:00"/>
        <d v="2023-12-05T00:00:00"/>
        <d v="2023-12-07T00:00:00"/>
        <d v="2023-12-14T00:00:00"/>
        <d v="2023-12-15T00:00:00"/>
        <d v="2023-12-16T00:00:00"/>
        <d v="2023-12-17T00:00:00"/>
        <d v="2023-12-20T00:00:00"/>
        <d v="2023-12-24T00:00:00"/>
        <d v="2023-12-27T00:00:00"/>
        <d v="2023-12-29T00:00:00"/>
        <d v="2023-12-30T00:00:00"/>
      </sharedItems>
    </cacheField>
    <cacheField name="[calls].[Date of Call (Month)].[Date of Call (Month)]" caption="Date of Call (Month)" numFmtId="0" hierarchy="8" level="1">
      <sharedItems count="12">
        <s v="Jan"/>
        <s v="Feb"/>
        <s v="Mar"/>
        <s v="Apr"/>
        <s v="May"/>
        <s v="Jun"/>
        <s v="Jul"/>
        <s v="Aug"/>
        <s v="Sep"/>
        <s v="Oct"/>
        <s v="Nov"/>
        <s v="Dec"/>
      </sharedItems>
    </cacheField>
    <cacheField name="[Measures].[Call Count]" caption="Call Count" numFmtId="0" hierarchy="15" level="32767"/>
    <cacheField name="Unsupported0" numFmtId="0" hierarchy="24" level="32767">
      <extLst>
        <ext xmlns:x14="http://schemas.microsoft.com/office/spreadsheetml/2009/9/main" uri="{63CAB8AC-B538-458d-9737-405883B0398D}">
          <x14:cacheField ignore="1"/>
        </ext>
      </extLst>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Rounded rating]" caption="Rounded rating" attribute="1" defaultMemberUniqueName="[calls].[Rounded rating].[All]" allUniqueName="[calls].[Rounded rating].[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alls].[day]" caption="day" attribute="1" defaultMemberUniqueName="[calls].[day].[All]" allUniqueName="[calls].[day].[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3"/>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van" refreshedDate="46203.820076157404" backgroundQuery="1" createdVersion="8" refreshedVersion="8" minRefreshableVersion="3" recordCount="0" supportSubquery="1" supportAdvancedDrill="1" xr:uid="{3B69CFA5-B52F-4828-B8B7-B05F59EF2FD3}">
  <cacheSource type="external" connectionId="2"/>
  <cacheFields count="3">
    <cacheField name="[calls].[Representative].[Representative]" caption="Representative" numFmtId="0" hierarchy="3" level="1">
      <sharedItems containsSemiMixedTypes="0" containsNonDate="0" containsString="0"/>
    </cacheField>
    <cacheField name="[calls].[day].[day]" caption="day" numFmtId="0" hierarchy="9" level="1">
      <sharedItems count="7">
        <s v="Friday"/>
        <s v="Monday"/>
        <s v="Saturday"/>
        <s v="Sunday"/>
        <s v="Thursday"/>
        <s v="Tuesday"/>
        <s v="Wednesday"/>
      </sharedItems>
    </cacheField>
    <cacheField name="[Measures].[Call Count]" caption="Call Count" numFmtId="0" hierarchy="15" level="32767"/>
  </cacheFields>
  <cacheHierarchies count="24">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Rounded rating]" caption="Rounded rating" attribute="1" defaultMemberUniqueName="[calls].[Rounded rating].[All]" allUniqueName="[calls].[Rounded rating].[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alls].[day]" caption="day" attribute="1" defaultMemberUniqueName="[calls].[day].[All]" allUniqueName="[calls].[day].[All]" dimensionUniqueName="[calls]" displayFolder="" count="2" memberValueDatatype="130" unbalanced="0">
      <fieldsUsage count="2">
        <fieldUsage x="-1"/>
        <fieldUsage x="1"/>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van" refreshedDate="46203.820076504628" backgroundQuery="1" createdVersion="8" refreshedVersion="8" minRefreshableVersion="3" recordCount="0" supportSubquery="1" supportAdvancedDrill="1" xr:uid="{E7B63406-7D73-485F-AA44-41B8F27DDB40}">
  <cacheSource type="external" connectionId="2"/>
  <cacheFields count="1">
    <cacheField name="[calls].[Representative].[Representative]" caption="Representative" numFmtId="0" hierarchy="3" level="1">
      <sharedItems count="1">
        <s v="R02"/>
      </sharedItems>
    </cacheField>
  </cacheFields>
  <cacheHierarchies count="24">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Rounded rating]" caption="Rounded rating" attribute="1" defaultMemberUniqueName="[calls].[Rounded rating].[All]" allUniqueName="[calls].[Rounded rating].[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alls].[day]" caption="day" attribute="1" defaultMemberUniqueName="[calls].[day].[All]" allUniqueName="[calls].[day].[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van" refreshedDate="46203.820076851851" backgroundQuery="1" createdVersion="8" refreshedVersion="8" minRefreshableVersion="3" recordCount="0" supportSubquery="1" supportAdvancedDrill="1" xr:uid="{863321C7-7BFC-4E62-B3CC-B4B3983CED51}">
  <cacheSource type="external" connectionId="2"/>
  <cacheFields count="3">
    <cacheField name="[calls].[Rounded rating].[Rounded rating]" caption="Rounded rating" numFmtId="0" hierarchy="7"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calls].[Rounded rating].&amp;[1]"/>
            <x15:cachedUniqueName index="1" name="[calls].[Rounded rating].&amp;[2]"/>
            <x15:cachedUniqueName index="2" name="[calls].[Rounded rating].&amp;[3]"/>
            <x15:cachedUniqueName index="3" name="[calls].[Rounded rating].&amp;[4]"/>
            <x15:cachedUniqueName index="4" name="[calls].[Rounded rating].&amp;[5]"/>
          </x15:cachedUniqueNames>
        </ext>
      </extLst>
    </cacheField>
    <cacheField name="[Measures].[Call Count]" caption="Call Count" numFmtId="0" hierarchy="15" level="32767"/>
    <cacheField name="[calls].[Representative].[Representative]" caption="Representative" numFmtId="0" hierarchy="3" level="1">
      <sharedItems containsSemiMixedTypes="0" containsNonDate="0" containsString="0"/>
    </cacheField>
  </cacheFields>
  <cacheHierarchies count="24">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Rounded rating]" caption="Rounded rating" attribute="1" defaultMemberUniqueName="[calls].[Rounded rating].[All]" allUniqueName="[calls].[Rounded rating].[All]" dimensionUniqueName="[calls]" displayFolder="" count="2" memberValueDatatype="20" unbalanced="0">
      <fieldsUsage count="2">
        <fieldUsage x="-1"/>
        <fieldUsage x="0"/>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alls].[day]" caption="day" attribute="1" defaultMemberUniqueName="[calls].[day].[All]" allUniqueName="[calls].[day].[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van" refreshedDate="46194.66873946759" backgroundQuery="1" createdVersion="3" refreshedVersion="8" minRefreshableVersion="3" recordCount="0" supportSubquery="1" supportAdvancedDrill="1" xr:uid="{9C5C053E-16B8-42CA-8E1F-6AB4D49F4FBB}">
  <cacheSource type="external" connectionId="2">
    <extLst>
      <ext xmlns:x14="http://schemas.microsoft.com/office/spreadsheetml/2009/9/main" uri="{F057638F-6D5F-4e77-A914-E7F072B9BCA8}">
        <x14:sourceConnection name="ThisWorkbookDataModel"/>
      </ext>
    </extLst>
  </cacheSource>
  <cacheFields count="0"/>
  <cacheHierarchies count="23">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Rounded rating]" caption="Rounded rating" attribute="1" defaultMemberUniqueName="[calls].[Rounded rating].[All]" allUniqueName="[calls].[Rounded rating].[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alls].[day]" caption="day" attribute="1" defaultMemberUniqueName="[calls].[day].[All]" allUniqueName="[calls].[day].[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109762934"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Call_7271"/>
    <x v="0"/>
    <x v="0"/>
    <x v="0"/>
    <x v="0"/>
    <n v="128"/>
    <n v="4.9000000000000004"/>
  </r>
  <r>
    <s v="Call_7272"/>
    <x v="1"/>
    <x v="1"/>
    <x v="0"/>
    <x v="0"/>
    <n v="135"/>
    <n v="2.9"/>
  </r>
  <r>
    <s v="Call_7273"/>
    <x v="2"/>
    <x v="2"/>
    <x v="1"/>
    <x v="0"/>
    <n v="66"/>
    <n v="4.7"/>
  </r>
  <r>
    <s v="Call_7274"/>
    <x v="3"/>
    <x v="1"/>
    <x v="1"/>
    <x v="0"/>
    <n v="22"/>
    <n v="2.9"/>
  </r>
  <r>
    <s v="Call_7275"/>
    <x v="4"/>
    <x v="3"/>
    <x v="2"/>
    <x v="1"/>
    <n v="31"/>
    <n v="2.8"/>
  </r>
  <r>
    <s v="Call_7276"/>
    <x v="4"/>
    <x v="4"/>
    <x v="1"/>
    <x v="2"/>
    <n v="135"/>
    <n v="4.8"/>
  </r>
  <r>
    <s v="Call_7277"/>
    <x v="5"/>
    <x v="5"/>
    <x v="0"/>
    <x v="2"/>
    <n v="60"/>
    <n v="4.7"/>
  </r>
  <r>
    <s v="Call_7278"/>
    <x v="0"/>
    <x v="6"/>
    <x v="3"/>
    <x v="2"/>
    <n v="148"/>
    <n v="4.4000000000000004"/>
  </r>
  <r>
    <s v="Call_7279"/>
    <x v="2"/>
    <x v="7"/>
    <x v="1"/>
    <x v="2"/>
    <n v="135"/>
    <n v="3.6"/>
  </r>
  <r>
    <s v="Call_7280"/>
    <x v="6"/>
    <x v="8"/>
    <x v="4"/>
    <x v="2"/>
    <n v="105"/>
    <n v="2.9"/>
  </r>
  <r>
    <s v="Call_7281"/>
    <x v="4"/>
    <x v="9"/>
    <x v="1"/>
    <x v="2"/>
    <n v="69"/>
    <n v="4.9000000000000004"/>
  </r>
  <r>
    <s v="Call_7282"/>
    <x v="7"/>
    <x v="10"/>
    <x v="0"/>
    <x v="2"/>
    <n v="46"/>
    <n v="3.4"/>
  </r>
  <r>
    <s v="Call_7283"/>
    <x v="8"/>
    <x v="11"/>
    <x v="1"/>
    <x v="3"/>
    <n v="108"/>
    <n v="3.5"/>
  </r>
  <r>
    <s v="Call_7284"/>
    <x v="6"/>
    <x v="12"/>
    <x v="1"/>
    <x v="3"/>
    <n v="96"/>
    <n v="4"/>
  </r>
  <r>
    <s v="Call_7285"/>
    <x v="7"/>
    <x v="13"/>
    <x v="2"/>
    <x v="3"/>
    <n v="68"/>
    <n v="4.9000000000000004"/>
  </r>
  <r>
    <s v="Call_7286"/>
    <x v="6"/>
    <x v="14"/>
    <x v="0"/>
    <x v="4"/>
    <n v="24"/>
    <n v="4.8"/>
  </r>
  <r>
    <s v="Call_7287"/>
    <x v="6"/>
    <x v="15"/>
    <x v="2"/>
    <x v="4"/>
    <n v="195"/>
    <n v="3.9"/>
  </r>
  <r>
    <s v="Call_7288"/>
    <x v="9"/>
    <x v="16"/>
    <x v="4"/>
    <x v="4"/>
    <n v="28"/>
    <n v="3.8"/>
  </r>
  <r>
    <s v="Call_7289"/>
    <x v="5"/>
    <x v="17"/>
    <x v="1"/>
    <x v="4"/>
    <n v="170"/>
    <n v="4.3"/>
  </r>
  <r>
    <s v="Call_7290"/>
    <x v="10"/>
    <x v="13"/>
    <x v="0"/>
    <x v="5"/>
    <n v="30"/>
    <n v="4.4000000000000004"/>
  </r>
  <r>
    <s v="Call_7291"/>
    <x v="1"/>
    <x v="3"/>
    <x v="0"/>
    <x v="5"/>
    <n v="72"/>
    <n v="5"/>
  </r>
  <r>
    <s v="Call_7292"/>
    <x v="1"/>
    <x v="18"/>
    <x v="3"/>
    <x v="6"/>
    <n v="92"/>
    <n v="4.9000000000000004"/>
  </r>
  <r>
    <s v="Call_7293"/>
    <x v="0"/>
    <x v="19"/>
    <x v="3"/>
    <x v="7"/>
    <n v="165"/>
    <n v="4.5"/>
  </r>
  <r>
    <s v="Call_7294"/>
    <x v="11"/>
    <x v="20"/>
    <x v="1"/>
    <x v="7"/>
    <n v="140"/>
    <n v="2.1"/>
  </r>
  <r>
    <s v="Call_7295"/>
    <x v="6"/>
    <x v="17"/>
    <x v="2"/>
    <x v="7"/>
    <n v="111"/>
    <n v="3.3"/>
  </r>
  <r>
    <s v="Call_7296"/>
    <x v="12"/>
    <x v="16"/>
    <x v="0"/>
    <x v="8"/>
    <n v="63"/>
    <n v="4.0999999999999996"/>
  </r>
  <r>
    <s v="Call_7297"/>
    <x v="8"/>
    <x v="21"/>
    <x v="0"/>
    <x v="8"/>
    <n v="80"/>
    <n v="4.2"/>
  </r>
  <r>
    <s v="Call_7298"/>
    <x v="4"/>
    <x v="22"/>
    <x v="0"/>
    <x v="9"/>
    <n v="50"/>
    <n v="4.5999999999999996"/>
  </r>
  <r>
    <s v="Call_7299"/>
    <x v="9"/>
    <x v="7"/>
    <x v="3"/>
    <x v="9"/>
    <n v="123"/>
    <n v="2.9"/>
  </r>
  <r>
    <s v="Call_7300"/>
    <x v="11"/>
    <x v="23"/>
    <x v="2"/>
    <x v="9"/>
    <n v="110"/>
    <n v="4.8"/>
  </r>
  <r>
    <s v="Call_7301"/>
    <x v="9"/>
    <x v="24"/>
    <x v="0"/>
    <x v="9"/>
    <n v="140"/>
    <n v="4.2"/>
  </r>
  <r>
    <s v="Call_7302"/>
    <x v="4"/>
    <x v="25"/>
    <x v="0"/>
    <x v="10"/>
    <n v="42"/>
    <n v="3.7"/>
  </r>
  <r>
    <s v="Call_7303"/>
    <x v="4"/>
    <x v="26"/>
    <x v="2"/>
    <x v="10"/>
    <n v="170"/>
    <n v="5"/>
  </r>
  <r>
    <s v="Call_7304"/>
    <x v="10"/>
    <x v="27"/>
    <x v="1"/>
    <x v="11"/>
    <n v="105"/>
    <n v="5"/>
  </r>
  <r>
    <s v="Call_7305"/>
    <x v="13"/>
    <x v="28"/>
    <x v="0"/>
    <x v="12"/>
    <n v="125"/>
    <n v="4.8"/>
  </r>
  <r>
    <s v="Call_7306"/>
    <x v="9"/>
    <x v="29"/>
    <x v="4"/>
    <x v="12"/>
    <n v="26"/>
    <n v="2.4"/>
  </r>
  <r>
    <s v="Call_7307"/>
    <x v="11"/>
    <x v="30"/>
    <x v="4"/>
    <x v="13"/>
    <n v="120"/>
    <n v="3.1"/>
  </r>
  <r>
    <s v="Call_7308"/>
    <x v="1"/>
    <x v="31"/>
    <x v="1"/>
    <x v="13"/>
    <n v="132"/>
    <n v="3.2"/>
  </r>
  <r>
    <s v="Call_7309"/>
    <x v="11"/>
    <x v="22"/>
    <x v="3"/>
    <x v="14"/>
    <n v="86"/>
    <n v="2.4"/>
  </r>
  <r>
    <s v="Call_7310"/>
    <x v="9"/>
    <x v="32"/>
    <x v="0"/>
    <x v="14"/>
    <n v="108"/>
    <n v="5"/>
  </r>
  <r>
    <s v="Call_7311"/>
    <x v="1"/>
    <x v="33"/>
    <x v="3"/>
    <x v="14"/>
    <n v="96"/>
    <n v="4.7"/>
  </r>
  <r>
    <s v="Call_7312"/>
    <x v="6"/>
    <x v="28"/>
    <x v="1"/>
    <x v="15"/>
    <n v="80"/>
    <n v="4.7"/>
  </r>
  <r>
    <s v="Call_7313"/>
    <x v="9"/>
    <x v="34"/>
    <x v="0"/>
    <x v="15"/>
    <n v="155"/>
    <n v="4.0999999999999996"/>
  </r>
  <r>
    <s v="Call_7314"/>
    <x v="7"/>
    <x v="35"/>
    <x v="4"/>
    <x v="15"/>
    <n v="168"/>
    <n v="4.0999999999999996"/>
  </r>
  <r>
    <s v="Call_7315"/>
    <x v="13"/>
    <x v="28"/>
    <x v="2"/>
    <x v="15"/>
    <n v="56"/>
    <n v="3.6"/>
  </r>
  <r>
    <s v="Call_7316"/>
    <x v="4"/>
    <x v="36"/>
    <x v="4"/>
    <x v="16"/>
    <n v="32"/>
    <n v="4.4000000000000004"/>
  </r>
  <r>
    <s v="Call_7317"/>
    <x v="3"/>
    <x v="37"/>
    <x v="2"/>
    <x v="16"/>
    <n v="78"/>
    <n v="4.4000000000000004"/>
  </r>
  <r>
    <s v="Call_7318"/>
    <x v="1"/>
    <x v="38"/>
    <x v="0"/>
    <x v="16"/>
    <n v="86"/>
    <n v="4"/>
  </r>
  <r>
    <s v="Call_7319"/>
    <x v="0"/>
    <x v="31"/>
    <x v="1"/>
    <x v="17"/>
    <n v="64"/>
    <n v="3.8"/>
  </r>
  <r>
    <s v="Call_7320"/>
    <x v="12"/>
    <x v="39"/>
    <x v="1"/>
    <x v="17"/>
    <n v="96"/>
    <n v="3.6"/>
  </r>
  <r>
    <s v="Call_7321"/>
    <x v="8"/>
    <x v="40"/>
    <x v="2"/>
    <x v="17"/>
    <n v="72"/>
    <n v="4.3"/>
  </r>
  <r>
    <s v="Call_7322"/>
    <x v="7"/>
    <x v="41"/>
    <x v="3"/>
    <x v="18"/>
    <n v="135"/>
    <n v="3.8"/>
  </r>
  <r>
    <s v="Call_7323"/>
    <x v="7"/>
    <x v="42"/>
    <x v="4"/>
    <x v="18"/>
    <n v="140"/>
    <n v="4.5"/>
  </r>
  <r>
    <s v="Call_7324"/>
    <x v="14"/>
    <x v="43"/>
    <x v="2"/>
    <x v="18"/>
    <n v="69"/>
    <n v="4.5"/>
  </r>
  <r>
    <s v="Call_7325"/>
    <x v="7"/>
    <x v="44"/>
    <x v="0"/>
    <x v="19"/>
    <n v="136"/>
    <n v="4.5999999999999996"/>
  </r>
  <r>
    <s v="Call_7326"/>
    <x v="12"/>
    <x v="45"/>
    <x v="2"/>
    <x v="19"/>
    <n v="28"/>
    <n v="4.5"/>
  </r>
  <r>
    <s v="Call_7327"/>
    <x v="14"/>
    <x v="20"/>
    <x v="1"/>
    <x v="20"/>
    <n v="135"/>
    <n v="3.3"/>
  </r>
  <r>
    <s v="Call_7328"/>
    <x v="11"/>
    <x v="46"/>
    <x v="1"/>
    <x v="20"/>
    <n v="126"/>
    <n v="2.2999999999999998"/>
  </r>
  <r>
    <s v="Call_7329"/>
    <x v="4"/>
    <x v="47"/>
    <x v="0"/>
    <x v="20"/>
    <n v="160"/>
    <n v="4.3"/>
  </r>
  <r>
    <s v="Call_7330"/>
    <x v="14"/>
    <x v="48"/>
    <x v="1"/>
    <x v="21"/>
    <n v="48"/>
    <n v="4.5999999999999996"/>
  </r>
  <r>
    <s v="Call_7331"/>
    <x v="7"/>
    <x v="33"/>
    <x v="2"/>
    <x v="21"/>
    <n v="66"/>
    <n v="4"/>
  </r>
  <r>
    <s v="Call_7332"/>
    <x v="6"/>
    <x v="49"/>
    <x v="3"/>
    <x v="21"/>
    <n v="126"/>
    <n v="2.5"/>
  </r>
  <r>
    <s v="Call_7333"/>
    <x v="11"/>
    <x v="50"/>
    <x v="4"/>
    <x v="21"/>
    <n v="96"/>
    <n v="5"/>
  </r>
  <r>
    <s v="Call_7334"/>
    <x v="7"/>
    <x v="51"/>
    <x v="0"/>
    <x v="22"/>
    <n v="90"/>
    <n v="3.8"/>
  </r>
  <r>
    <s v="Call_7335"/>
    <x v="13"/>
    <x v="52"/>
    <x v="3"/>
    <x v="22"/>
    <n v="105"/>
    <n v="4.4000000000000004"/>
  </r>
  <r>
    <s v="Call_7336"/>
    <x v="1"/>
    <x v="53"/>
    <x v="1"/>
    <x v="23"/>
    <n v="40"/>
    <n v="3.8"/>
  </r>
  <r>
    <s v="Call_7337"/>
    <x v="11"/>
    <x v="54"/>
    <x v="0"/>
    <x v="23"/>
    <n v="60"/>
    <n v="2"/>
  </r>
  <r>
    <s v="Call_7338"/>
    <x v="6"/>
    <x v="55"/>
    <x v="3"/>
    <x v="24"/>
    <n v="215"/>
    <n v="4.0999999999999996"/>
  </r>
  <r>
    <s v="Call_7339"/>
    <x v="2"/>
    <x v="22"/>
    <x v="2"/>
    <x v="24"/>
    <n v="156"/>
    <n v="2.6"/>
  </r>
  <r>
    <s v="Call_7340"/>
    <x v="10"/>
    <x v="56"/>
    <x v="4"/>
    <x v="24"/>
    <n v="54"/>
    <n v="0"/>
  </r>
  <r>
    <s v="Call_7341"/>
    <x v="10"/>
    <x v="57"/>
    <x v="4"/>
    <x v="25"/>
    <n v="160"/>
    <n v="3.9"/>
  </r>
  <r>
    <s v="Call_7342"/>
    <x v="13"/>
    <x v="58"/>
    <x v="2"/>
    <x v="25"/>
    <n v="80"/>
    <n v="4.8"/>
  </r>
  <r>
    <s v="Call_7343"/>
    <x v="7"/>
    <x v="19"/>
    <x v="2"/>
    <x v="25"/>
    <n v="168"/>
    <n v="2.6"/>
  </r>
  <r>
    <s v="Call_7344"/>
    <x v="14"/>
    <x v="59"/>
    <x v="4"/>
    <x v="26"/>
    <n v="42"/>
    <n v="2.6"/>
  </r>
  <r>
    <s v="Call_7345"/>
    <x v="2"/>
    <x v="60"/>
    <x v="2"/>
    <x v="26"/>
    <n v="205"/>
    <n v="3.6"/>
  </r>
  <r>
    <s v="Call_7346"/>
    <x v="4"/>
    <x v="53"/>
    <x v="4"/>
    <x v="26"/>
    <n v="108"/>
    <n v="3.3"/>
  </r>
  <r>
    <s v="Call_7347"/>
    <x v="6"/>
    <x v="61"/>
    <x v="1"/>
    <x v="26"/>
    <n v="78"/>
    <n v="1.9"/>
  </r>
  <r>
    <s v="Call_7348"/>
    <x v="1"/>
    <x v="62"/>
    <x v="4"/>
    <x v="26"/>
    <n v="23"/>
    <n v="4.9000000000000004"/>
  </r>
  <r>
    <s v="Call_7349"/>
    <x v="4"/>
    <x v="63"/>
    <x v="0"/>
    <x v="27"/>
    <n v="99"/>
    <n v="3.6"/>
  </r>
  <r>
    <s v="Call_7350"/>
    <x v="9"/>
    <x v="42"/>
    <x v="4"/>
    <x v="28"/>
    <n v="148"/>
    <n v="4.5"/>
  </r>
  <r>
    <s v="Call_7351"/>
    <x v="6"/>
    <x v="64"/>
    <x v="3"/>
    <x v="28"/>
    <n v="34"/>
    <n v="3.7"/>
  </r>
  <r>
    <s v="Call_7352"/>
    <x v="4"/>
    <x v="65"/>
    <x v="4"/>
    <x v="28"/>
    <n v="86"/>
    <n v="4.8"/>
  </r>
  <r>
    <s v="Call_7353"/>
    <x v="14"/>
    <x v="66"/>
    <x v="0"/>
    <x v="28"/>
    <n v="105"/>
    <n v="3.3"/>
  </r>
  <r>
    <s v="Call_7354"/>
    <x v="1"/>
    <x v="67"/>
    <x v="0"/>
    <x v="28"/>
    <n v="62"/>
    <n v="3.1"/>
  </r>
  <r>
    <s v="Call_7355"/>
    <x v="4"/>
    <x v="65"/>
    <x v="3"/>
    <x v="28"/>
    <n v="90"/>
    <n v="4.0999999999999996"/>
  </r>
  <r>
    <s v="Call_7356"/>
    <x v="3"/>
    <x v="15"/>
    <x v="0"/>
    <x v="29"/>
    <n v="112"/>
    <n v="4.9000000000000004"/>
  </r>
  <r>
    <s v="Call_7357"/>
    <x v="11"/>
    <x v="41"/>
    <x v="0"/>
    <x v="29"/>
    <n v="135"/>
    <n v="4"/>
  </r>
  <r>
    <s v="Call_7358"/>
    <x v="1"/>
    <x v="68"/>
    <x v="1"/>
    <x v="29"/>
    <n v="34"/>
    <n v="2.1"/>
  </r>
  <r>
    <s v="Call_7359"/>
    <x v="14"/>
    <x v="69"/>
    <x v="2"/>
    <x v="29"/>
    <n v="155"/>
    <n v="4.5"/>
  </r>
  <r>
    <s v="Call_7360"/>
    <x v="3"/>
    <x v="70"/>
    <x v="2"/>
    <x v="30"/>
    <n v="124"/>
    <n v="4.9000000000000004"/>
  </r>
  <r>
    <s v="Call_7361"/>
    <x v="11"/>
    <x v="5"/>
    <x v="0"/>
    <x v="30"/>
    <n v="195"/>
    <n v="4.0999999999999996"/>
  </r>
  <r>
    <s v="Call_7362"/>
    <x v="13"/>
    <x v="71"/>
    <x v="2"/>
    <x v="31"/>
    <n v="78"/>
    <n v="4.5"/>
  </r>
  <r>
    <s v="Call_7363"/>
    <x v="5"/>
    <x v="10"/>
    <x v="3"/>
    <x v="32"/>
    <n v="35"/>
    <n v="4.8"/>
  </r>
  <r>
    <s v="Call_7364"/>
    <x v="12"/>
    <x v="72"/>
    <x v="1"/>
    <x v="32"/>
    <n v="123"/>
    <n v="4.5999999999999996"/>
  </r>
  <r>
    <s v="Call_7365"/>
    <x v="2"/>
    <x v="35"/>
    <x v="1"/>
    <x v="32"/>
    <n v="43"/>
    <n v="4.5999999999999996"/>
  </r>
  <r>
    <s v="Call_7366"/>
    <x v="10"/>
    <x v="73"/>
    <x v="0"/>
    <x v="33"/>
    <n v="69"/>
    <n v="4.3"/>
  </r>
  <r>
    <s v="Call_7367"/>
    <x v="12"/>
    <x v="48"/>
    <x v="1"/>
    <x v="33"/>
    <n v="130"/>
    <n v="5"/>
  </r>
  <r>
    <s v="Call_7368"/>
    <x v="0"/>
    <x v="74"/>
    <x v="4"/>
    <x v="33"/>
    <n v="120"/>
    <n v="4"/>
  </r>
  <r>
    <s v="Call_7369"/>
    <x v="13"/>
    <x v="64"/>
    <x v="0"/>
    <x v="34"/>
    <n v="84"/>
    <n v="4.5999999999999996"/>
  </r>
  <r>
    <s v="Call_7370"/>
    <x v="0"/>
    <x v="35"/>
    <x v="4"/>
    <x v="35"/>
    <n v="112"/>
    <n v="4.5"/>
  </r>
  <r>
    <s v="Call_7371"/>
    <x v="7"/>
    <x v="48"/>
    <x v="0"/>
    <x v="35"/>
    <n v="66"/>
    <n v="4.5999999999999996"/>
  </r>
  <r>
    <s v="Call_7372"/>
    <x v="12"/>
    <x v="37"/>
    <x v="2"/>
    <x v="35"/>
    <n v="172"/>
    <n v="2.6"/>
  </r>
  <r>
    <s v="Call_7373"/>
    <x v="9"/>
    <x v="19"/>
    <x v="3"/>
    <x v="36"/>
    <n v="24"/>
    <n v="4.3"/>
  </r>
  <r>
    <s v="Call_7374"/>
    <x v="3"/>
    <x v="75"/>
    <x v="2"/>
    <x v="37"/>
    <n v="43"/>
    <n v="3.9"/>
  </r>
  <r>
    <s v="Call_7375"/>
    <x v="2"/>
    <x v="67"/>
    <x v="1"/>
    <x v="37"/>
    <n v="23"/>
    <n v="5"/>
  </r>
  <r>
    <s v="Call_7376"/>
    <x v="8"/>
    <x v="16"/>
    <x v="4"/>
    <x v="37"/>
    <n v="74"/>
    <n v="3.5"/>
  </r>
  <r>
    <s v="Call_7377"/>
    <x v="1"/>
    <x v="76"/>
    <x v="3"/>
    <x v="38"/>
    <n v="165"/>
    <n v="4.7"/>
  </r>
  <r>
    <s v="Call_7378"/>
    <x v="11"/>
    <x v="65"/>
    <x v="2"/>
    <x v="38"/>
    <n v="34"/>
    <n v="2.9"/>
  </r>
  <r>
    <s v="Call_7379"/>
    <x v="1"/>
    <x v="77"/>
    <x v="4"/>
    <x v="38"/>
    <n v="64"/>
    <n v="3.4"/>
  </r>
  <r>
    <s v="Call_7380"/>
    <x v="2"/>
    <x v="24"/>
    <x v="3"/>
    <x v="39"/>
    <n v="155"/>
    <n v="3.2"/>
  </r>
  <r>
    <s v="Call_7381"/>
    <x v="1"/>
    <x v="48"/>
    <x v="1"/>
    <x v="40"/>
    <n v="120"/>
    <n v="4.8"/>
  </r>
  <r>
    <s v="Call_7382"/>
    <x v="10"/>
    <x v="78"/>
    <x v="4"/>
    <x v="40"/>
    <n v="105"/>
    <n v="3.6"/>
  </r>
  <r>
    <s v="Call_7383"/>
    <x v="4"/>
    <x v="79"/>
    <x v="2"/>
    <x v="40"/>
    <n v="28"/>
    <n v="4.9000000000000004"/>
  </r>
  <r>
    <s v="Call_7384"/>
    <x v="6"/>
    <x v="18"/>
    <x v="3"/>
    <x v="40"/>
    <n v="100"/>
    <n v="4.8"/>
  </r>
  <r>
    <s v="Call_7385"/>
    <x v="7"/>
    <x v="71"/>
    <x v="2"/>
    <x v="40"/>
    <n v="23"/>
    <n v="3.6"/>
  </r>
  <r>
    <s v="Call_7386"/>
    <x v="9"/>
    <x v="80"/>
    <x v="4"/>
    <x v="41"/>
    <n v="70"/>
    <n v="3.9"/>
  </r>
  <r>
    <s v="Call_7387"/>
    <x v="9"/>
    <x v="81"/>
    <x v="4"/>
    <x v="41"/>
    <n v="37"/>
    <n v="1.9"/>
  </r>
  <r>
    <s v="Call_7388"/>
    <x v="8"/>
    <x v="0"/>
    <x v="0"/>
    <x v="41"/>
    <n v="140"/>
    <n v="3.6"/>
  </r>
  <r>
    <s v="Call_7389"/>
    <x v="0"/>
    <x v="15"/>
    <x v="1"/>
    <x v="41"/>
    <n v="78"/>
    <n v="4.0999999999999996"/>
  </r>
  <r>
    <s v="Call_7390"/>
    <x v="1"/>
    <x v="29"/>
    <x v="4"/>
    <x v="42"/>
    <n v="21"/>
    <n v="4.2"/>
  </r>
  <r>
    <s v="Call_7391"/>
    <x v="2"/>
    <x v="82"/>
    <x v="0"/>
    <x v="42"/>
    <n v="88"/>
    <n v="4.3"/>
  </r>
  <r>
    <s v="Call_7392"/>
    <x v="5"/>
    <x v="23"/>
    <x v="0"/>
    <x v="43"/>
    <n v="180"/>
    <n v="2.2000000000000002"/>
  </r>
  <r>
    <s v="Call_7393"/>
    <x v="0"/>
    <x v="2"/>
    <x v="1"/>
    <x v="43"/>
    <n v="22"/>
    <n v="3.3"/>
  </r>
  <r>
    <s v="Call_7394"/>
    <x v="6"/>
    <x v="48"/>
    <x v="1"/>
    <x v="43"/>
    <n v="52"/>
    <n v="4.8"/>
  </r>
  <r>
    <s v="Call_7395"/>
    <x v="11"/>
    <x v="83"/>
    <x v="0"/>
    <x v="44"/>
    <n v="80"/>
    <n v="4"/>
  </r>
  <r>
    <s v="Call_7396"/>
    <x v="4"/>
    <x v="59"/>
    <x v="2"/>
    <x v="44"/>
    <n v="54"/>
    <n v="1.1000000000000001"/>
  </r>
  <r>
    <s v="Call_7397"/>
    <x v="1"/>
    <x v="23"/>
    <x v="2"/>
    <x v="45"/>
    <n v="80"/>
    <n v="3.9"/>
  </r>
  <r>
    <s v="Call_7398"/>
    <x v="11"/>
    <x v="59"/>
    <x v="0"/>
    <x v="46"/>
    <n v="120"/>
    <n v="1.8"/>
  </r>
  <r>
    <s v="Call_7399"/>
    <x v="5"/>
    <x v="49"/>
    <x v="3"/>
    <x v="46"/>
    <n v="150"/>
    <n v="1"/>
  </r>
  <r>
    <s v="Call_7400"/>
    <x v="1"/>
    <x v="34"/>
    <x v="0"/>
    <x v="46"/>
    <n v="90"/>
    <n v="4.3"/>
  </r>
  <r>
    <s v="Call_7401"/>
    <x v="13"/>
    <x v="84"/>
    <x v="4"/>
    <x v="47"/>
    <n v="140"/>
    <n v="3.4"/>
  </r>
  <r>
    <s v="Call_7402"/>
    <x v="6"/>
    <x v="85"/>
    <x v="2"/>
    <x v="47"/>
    <n v="22"/>
    <n v="3.4"/>
  </r>
  <r>
    <s v="Call_7403"/>
    <x v="11"/>
    <x v="86"/>
    <x v="3"/>
    <x v="48"/>
    <n v="150"/>
    <n v="4.0999999999999996"/>
  </r>
  <r>
    <s v="Call_7404"/>
    <x v="14"/>
    <x v="87"/>
    <x v="1"/>
    <x v="49"/>
    <n v="35"/>
    <n v="4.8"/>
  </r>
  <r>
    <s v="Call_7405"/>
    <x v="3"/>
    <x v="88"/>
    <x v="0"/>
    <x v="49"/>
    <n v="200"/>
    <n v="2"/>
  </r>
  <r>
    <s v="Call_7406"/>
    <x v="11"/>
    <x v="84"/>
    <x v="4"/>
    <x v="50"/>
    <n v="150"/>
    <n v="4.5999999999999996"/>
  </r>
  <r>
    <s v="Call_7407"/>
    <x v="9"/>
    <x v="63"/>
    <x v="0"/>
    <x v="50"/>
    <n v="21"/>
    <n v="2.6"/>
  </r>
  <r>
    <s v="Call_7408"/>
    <x v="13"/>
    <x v="89"/>
    <x v="3"/>
    <x v="51"/>
    <n v="46"/>
    <n v="4.9000000000000004"/>
  </r>
  <r>
    <s v="Call_7409"/>
    <x v="12"/>
    <x v="9"/>
    <x v="2"/>
    <x v="51"/>
    <n v="165"/>
    <n v="2.7"/>
  </r>
  <r>
    <s v="Call_7410"/>
    <x v="10"/>
    <x v="90"/>
    <x v="0"/>
    <x v="51"/>
    <n v="84"/>
    <n v="4.0999999999999996"/>
  </r>
  <r>
    <s v="Call_7411"/>
    <x v="1"/>
    <x v="91"/>
    <x v="2"/>
    <x v="52"/>
    <n v="102"/>
    <n v="4.4000000000000004"/>
  </r>
  <r>
    <s v="Call_7412"/>
    <x v="10"/>
    <x v="92"/>
    <x v="0"/>
    <x v="52"/>
    <n v="180"/>
    <n v="4.8"/>
  </r>
  <r>
    <s v="Call_7413"/>
    <x v="9"/>
    <x v="60"/>
    <x v="3"/>
    <x v="53"/>
    <n v="111"/>
    <n v="3"/>
  </r>
  <r>
    <s v="Call_7414"/>
    <x v="9"/>
    <x v="51"/>
    <x v="4"/>
    <x v="53"/>
    <n v="104"/>
    <n v="3.1"/>
  </r>
  <r>
    <s v="Call_7415"/>
    <x v="2"/>
    <x v="93"/>
    <x v="2"/>
    <x v="53"/>
    <n v="80"/>
    <n v="2.6"/>
  </r>
  <r>
    <s v="Call_7416"/>
    <x v="4"/>
    <x v="23"/>
    <x v="4"/>
    <x v="54"/>
    <n v="132"/>
    <n v="4.5999999999999996"/>
  </r>
  <r>
    <s v="Call_7417"/>
    <x v="4"/>
    <x v="31"/>
    <x v="3"/>
    <x v="54"/>
    <n v="170"/>
    <n v="3.7"/>
  </r>
  <r>
    <s v="Call_7418"/>
    <x v="10"/>
    <x v="94"/>
    <x v="1"/>
    <x v="54"/>
    <n v="36"/>
    <n v="3.8"/>
  </r>
  <r>
    <s v="Call_7419"/>
    <x v="8"/>
    <x v="34"/>
    <x v="4"/>
    <x v="54"/>
    <n v="126"/>
    <n v="3.6"/>
  </r>
  <r>
    <s v="Call_7420"/>
    <x v="11"/>
    <x v="72"/>
    <x v="2"/>
    <x v="54"/>
    <n v="215"/>
    <n v="4.4000000000000004"/>
  </r>
  <r>
    <s v="Call_7421"/>
    <x v="8"/>
    <x v="65"/>
    <x v="3"/>
    <x v="54"/>
    <n v="114"/>
    <n v="3.2"/>
  </r>
  <r>
    <s v="Call_7422"/>
    <x v="8"/>
    <x v="62"/>
    <x v="3"/>
    <x v="54"/>
    <n v="99"/>
    <n v="4.7"/>
  </r>
  <r>
    <s v="Call_7423"/>
    <x v="6"/>
    <x v="59"/>
    <x v="3"/>
    <x v="55"/>
    <n v="23"/>
    <n v="4.8"/>
  </r>
  <r>
    <s v="Call_7424"/>
    <x v="3"/>
    <x v="6"/>
    <x v="4"/>
    <x v="55"/>
    <n v="75"/>
    <n v="2.7"/>
  </r>
  <r>
    <s v="Call_7425"/>
    <x v="8"/>
    <x v="11"/>
    <x v="2"/>
    <x v="55"/>
    <n v="100"/>
    <n v="3.8"/>
  </r>
  <r>
    <s v="Call_7426"/>
    <x v="10"/>
    <x v="32"/>
    <x v="1"/>
    <x v="55"/>
    <n v="108"/>
    <n v="4.3"/>
  </r>
  <r>
    <s v="Call_7427"/>
    <x v="1"/>
    <x v="74"/>
    <x v="1"/>
    <x v="55"/>
    <n v="108"/>
    <n v="5"/>
  </r>
  <r>
    <s v="Call_7428"/>
    <x v="3"/>
    <x v="95"/>
    <x v="1"/>
    <x v="55"/>
    <n v="28"/>
    <n v="4.8"/>
  </r>
  <r>
    <s v="Call_7429"/>
    <x v="9"/>
    <x v="96"/>
    <x v="0"/>
    <x v="56"/>
    <n v="70"/>
    <n v="4.9000000000000004"/>
  </r>
  <r>
    <s v="Call_7430"/>
    <x v="2"/>
    <x v="90"/>
    <x v="0"/>
    <x v="56"/>
    <n v="172"/>
    <n v="4.0999999999999996"/>
  </r>
  <r>
    <s v="Call_7431"/>
    <x v="1"/>
    <x v="97"/>
    <x v="2"/>
    <x v="56"/>
    <n v="123"/>
    <n v="4.4000000000000004"/>
  </r>
  <r>
    <s v="Call_7432"/>
    <x v="1"/>
    <x v="98"/>
    <x v="1"/>
    <x v="56"/>
    <n v="93"/>
    <n v="3.4"/>
  </r>
  <r>
    <s v="Call_7433"/>
    <x v="12"/>
    <x v="99"/>
    <x v="0"/>
    <x v="56"/>
    <n v="66"/>
    <n v="4"/>
  </r>
  <r>
    <s v="Call_7434"/>
    <x v="12"/>
    <x v="37"/>
    <x v="1"/>
    <x v="56"/>
    <n v="39"/>
    <n v="2.4"/>
  </r>
  <r>
    <s v="Call_7435"/>
    <x v="0"/>
    <x v="100"/>
    <x v="4"/>
    <x v="56"/>
    <n v="25"/>
    <n v="2.1"/>
  </r>
  <r>
    <s v="Call_7436"/>
    <x v="13"/>
    <x v="96"/>
    <x v="2"/>
    <x v="56"/>
    <n v="68"/>
    <n v="3"/>
  </r>
  <r>
    <s v="Call_7437"/>
    <x v="2"/>
    <x v="16"/>
    <x v="4"/>
    <x v="56"/>
    <n v="84"/>
    <n v="3.2"/>
  </r>
  <r>
    <s v="Call_7438"/>
    <x v="4"/>
    <x v="12"/>
    <x v="1"/>
    <x v="57"/>
    <n v="88"/>
    <n v="3.4"/>
  </r>
  <r>
    <s v="Call_7439"/>
    <x v="10"/>
    <x v="25"/>
    <x v="2"/>
    <x v="57"/>
    <n v="93"/>
    <n v="2.7"/>
  </r>
  <r>
    <s v="Call_7440"/>
    <x v="1"/>
    <x v="58"/>
    <x v="4"/>
    <x v="57"/>
    <n v="128"/>
    <n v="5"/>
  </r>
  <r>
    <s v="Call_7441"/>
    <x v="2"/>
    <x v="29"/>
    <x v="3"/>
    <x v="57"/>
    <n v="40"/>
    <n v="3.4"/>
  </r>
  <r>
    <s v="Call_7442"/>
    <x v="6"/>
    <x v="101"/>
    <x v="4"/>
    <x v="58"/>
    <n v="92"/>
    <n v="4.7"/>
  </r>
  <r>
    <s v="Call_7443"/>
    <x v="8"/>
    <x v="96"/>
    <x v="1"/>
    <x v="58"/>
    <n v="27"/>
    <n v="4.5"/>
  </r>
  <r>
    <s v="Call_7444"/>
    <x v="5"/>
    <x v="37"/>
    <x v="0"/>
    <x v="58"/>
    <n v="140"/>
    <n v="4.0999999999999996"/>
  </r>
  <r>
    <s v="Call_7445"/>
    <x v="12"/>
    <x v="19"/>
    <x v="2"/>
    <x v="58"/>
    <n v="40"/>
    <n v="5"/>
  </r>
  <r>
    <s v="Call_7446"/>
    <x v="14"/>
    <x v="51"/>
    <x v="4"/>
    <x v="58"/>
    <n v="102"/>
    <n v="4.7"/>
  </r>
  <r>
    <s v="Call_7447"/>
    <x v="5"/>
    <x v="97"/>
    <x v="0"/>
    <x v="58"/>
    <n v="42"/>
    <n v="4.2"/>
  </r>
  <r>
    <s v="Call_7448"/>
    <x v="10"/>
    <x v="93"/>
    <x v="1"/>
    <x v="59"/>
    <n v="210"/>
    <n v="3.9"/>
  </r>
  <r>
    <s v="Call_7449"/>
    <x v="5"/>
    <x v="88"/>
    <x v="2"/>
    <x v="59"/>
    <n v="34"/>
    <n v="3"/>
  </r>
  <r>
    <s v="Call_7450"/>
    <x v="12"/>
    <x v="21"/>
    <x v="3"/>
    <x v="59"/>
    <n v="215"/>
    <n v="3.6"/>
  </r>
  <r>
    <s v="Call_7451"/>
    <x v="9"/>
    <x v="63"/>
    <x v="3"/>
    <x v="59"/>
    <n v="32"/>
    <n v="0.7"/>
  </r>
  <r>
    <s v="Call_7452"/>
    <x v="4"/>
    <x v="86"/>
    <x v="1"/>
    <x v="60"/>
    <n v="48"/>
    <n v="4.7"/>
  </r>
  <r>
    <s v="Call_7453"/>
    <x v="5"/>
    <x v="53"/>
    <x v="1"/>
    <x v="60"/>
    <n v="132"/>
    <n v="4.5"/>
  </r>
  <r>
    <s v="Call_7454"/>
    <x v="8"/>
    <x v="6"/>
    <x v="0"/>
    <x v="60"/>
    <n v="172"/>
    <n v="4.3"/>
  </r>
  <r>
    <s v="Call_7455"/>
    <x v="8"/>
    <x v="29"/>
    <x v="0"/>
    <x v="60"/>
    <n v="111"/>
    <n v="3.4"/>
  </r>
  <r>
    <s v="Call_7456"/>
    <x v="7"/>
    <x v="102"/>
    <x v="0"/>
    <x v="60"/>
    <n v="58"/>
    <n v="3.6"/>
  </r>
  <r>
    <s v="Call_7457"/>
    <x v="7"/>
    <x v="103"/>
    <x v="3"/>
    <x v="60"/>
    <n v="68"/>
    <n v="4"/>
  </r>
  <r>
    <s v="Call_7458"/>
    <x v="8"/>
    <x v="104"/>
    <x v="2"/>
    <x v="60"/>
    <n v="160"/>
    <n v="4.5"/>
  </r>
  <r>
    <s v="Call_7459"/>
    <x v="13"/>
    <x v="24"/>
    <x v="4"/>
    <x v="60"/>
    <n v="45"/>
    <n v="3"/>
  </r>
  <r>
    <s v="Call_7460"/>
    <x v="14"/>
    <x v="6"/>
    <x v="1"/>
    <x v="61"/>
    <n v="117"/>
    <n v="3"/>
  </r>
  <r>
    <s v="Call_7461"/>
    <x v="10"/>
    <x v="105"/>
    <x v="0"/>
    <x v="62"/>
    <n v="22"/>
    <n v="1.6"/>
  </r>
  <r>
    <s v="Call_7462"/>
    <x v="14"/>
    <x v="29"/>
    <x v="4"/>
    <x v="62"/>
    <n v="195"/>
    <n v="3"/>
  </r>
  <r>
    <s v="Call_7463"/>
    <x v="7"/>
    <x v="24"/>
    <x v="2"/>
    <x v="62"/>
    <n v="168"/>
    <n v="3.7"/>
  </r>
  <r>
    <s v="Call_7464"/>
    <x v="5"/>
    <x v="106"/>
    <x v="3"/>
    <x v="63"/>
    <n v="46"/>
    <n v="4.9000000000000004"/>
  </r>
  <r>
    <s v="Call_7465"/>
    <x v="1"/>
    <x v="23"/>
    <x v="0"/>
    <x v="63"/>
    <n v="164"/>
    <n v="3.4"/>
  </r>
  <r>
    <s v="Call_7466"/>
    <x v="5"/>
    <x v="47"/>
    <x v="3"/>
    <x v="63"/>
    <n v="48"/>
    <n v="5"/>
  </r>
  <r>
    <s v="Call_7467"/>
    <x v="2"/>
    <x v="28"/>
    <x v="1"/>
    <x v="63"/>
    <n v="96"/>
    <n v="5"/>
  </r>
  <r>
    <s v="Call_7468"/>
    <x v="5"/>
    <x v="51"/>
    <x v="3"/>
    <x v="63"/>
    <n v="105"/>
    <n v="4"/>
  </r>
  <r>
    <s v="Call_7469"/>
    <x v="1"/>
    <x v="41"/>
    <x v="3"/>
    <x v="64"/>
    <n v="44"/>
    <n v="3.6"/>
  </r>
  <r>
    <s v="Call_7470"/>
    <x v="0"/>
    <x v="107"/>
    <x v="2"/>
    <x v="64"/>
    <n v="132"/>
    <n v="3.7"/>
  </r>
  <r>
    <s v="Call_7471"/>
    <x v="2"/>
    <x v="5"/>
    <x v="0"/>
    <x v="64"/>
    <n v="54"/>
    <n v="4.2"/>
  </r>
  <r>
    <s v="Call_7472"/>
    <x v="13"/>
    <x v="108"/>
    <x v="4"/>
    <x v="64"/>
    <n v="129"/>
    <n v="2.1"/>
  </r>
  <r>
    <s v="Call_7473"/>
    <x v="13"/>
    <x v="47"/>
    <x v="3"/>
    <x v="64"/>
    <n v="42"/>
    <n v="4"/>
  </r>
  <r>
    <s v="Call_7474"/>
    <x v="9"/>
    <x v="45"/>
    <x v="3"/>
    <x v="64"/>
    <n v="42"/>
    <n v="4.2"/>
  </r>
  <r>
    <s v="Call_7475"/>
    <x v="7"/>
    <x v="104"/>
    <x v="0"/>
    <x v="64"/>
    <n v="180"/>
    <n v="3.1"/>
  </r>
  <r>
    <s v="Call_7476"/>
    <x v="4"/>
    <x v="21"/>
    <x v="3"/>
    <x v="65"/>
    <n v="34"/>
    <n v="4.8"/>
  </r>
  <r>
    <s v="Call_7477"/>
    <x v="14"/>
    <x v="91"/>
    <x v="4"/>
    <x v="65"/>
    <n v="29"/>
    <n v="4.7"/>
  </r>
  <r>
    <s v="Call_7478"/>
    <x v="12"/>
    <x v="109"/>
    <x v="1"/>
    <x v="65"/>
    <n v="165"/>
    <n v="3.3"/>
  </r>
  <r>
    <s v="Call_7479"/>
    <x v="14"/>
    <x v="110"/>
    <x v="3"/>
    <x v="66"/>
    <n v="32"/>
    <n v="3.7"/>
  </r>
  <r>
    <s v="Call_7480"/>
    <x v="13"/>
    <x v="84"/>
    <x v="2"/>
    <x v="66"/>
    <n v="160"/>
    <n v="4.9000000000000004"/>
  </r>
  <r>
    <s v="Call_7481"/>
    <x v="7"/>
    <x v="111"/>
    <x v="0"/>
    <x v="66"/>
    <n v="140"/>
    <n v="3.5"/>
  </r>
  <r>
    <s v="Call_7482"/>
    <x v="12"/>
    <x v="61"/>
    <x v="0"/>
    <x v="66"/>
    <n v="136"/>
    <n v="4.4000000000000004"/>
  </r>
  <r>
    <s v="Call_7483"/>
    <x v="2"/>
    <x v="106"/>
    <x v="4"/>
    <x v="66"/>
    <n v="66"/>
    <n v="2.8"/>
  </r>
  <r>
    <s v="Call_7484"/>
    <x v="12"/>
    <x v="36"/>
    <x v="2"/>
    <x v="67"/>
    <n v="63"/>
    <n v="4.0999999999999996"/>
  </r>
  <r>
    <s v="Call_7485"/>
    <x v="0"/>
    <x v="112"/>
    <x v="3"/>
    <x v="67"/>
    <n v="44"/>
    <n v="3.5"/>
  </r>
  <r>
    <s v="Call_7486"/>
    <x v="7"/>
    <x v="16"/>
    <x v="1"/>
    <x v="67"/>
    <n v="78"/>
    <n v="3.8"/>
  </r>
  <r>
    <s v="Call_7487"/>
    <x v="7"/>
    <x v="1"/>
    <x v="3"/>
    <x v="67"/>
    <n v="20"/>
    <n v="3.9"/>
  </r>
  <r>
    <s v="Call_7488"/>
    <x v="14"/>
    <x v="83"/>
    <x v="4"/>
    <x v="67"/>
    <n v="84"/>
    <n v="2.5"/>
  </r>
  <r>
    <s v="Call_7489"/>
    <x v="8"/>
    <x v="2"/>
    <x v="4"/>
    <x v="67"/>
    <n v="32"/>
    <n v="4.9000000000000004"/>
  </r>
  <r>
    <s v="Call_7490"/>
    <x v="9"/>
    <x v="113"/>
    <x v="1"/>
    <x v="67"/>
    <n v="132"/>
    <n v="3.4"/>
  </r>
  <r>
    <s v="Call_7491"/>
    <x v="9"/>
    <x v="47"/>
    <x v="0"/>
    <x v="67"/>
    <n v="105"/>
    <n v="3.3"/>
  </r>
  <r>
    <s v="Call_7492"/>
    <x v="1"/>
    <x v="12"/>
    <x v="3"/>
    <x v="68"/>
    <n v="48"/>
    <n v="4.7"/>
  </r>
  <r>
    <s v="Call_7493"/>
    <x v="7"/>
    <x v="44"/>
    <x v="3"/>
    <x v="68"/>
    <n v="64"/>
    <n v="4"/>
  </r>
  <r>
    <s v="Call_7494"/>
    <x v="10"/>
    <x v="87"/>
    <x v="0"/>
    <x v="68"/>
    <n v="44"/>
    <n v="3.8"/>
  </r>
  <r>
    <s v="Call_7495"/>
    <x v="1"/>
    <x v="68"/>
    <x v="1"/>
    <x v="68"/>
    <n v="120"/>
    <n v="3.1"/>
  </r>
  <r>
    <s v="Call_7496"/>
    <x v="10"/>
    <x v="33"/>
    <x v="1"/>
    <x v="68"/>
    <n v="144"/>
    <n v="4.8"/>
  </r>
  <r>
    <s v="Call_7497"/>
    <x v="9"/>
    <x v="83"/>
    <x v="1"/>
    <x v="68"/>
    <n v="87"/>
    <n v="2.7"/>
  </r>
  <r>
    <s v="Call_7498"/>
    <x v="4"/>
    <x v="114"/>
    <x v="4"/>
    <x v="68"/>
    <n v="36"/>
    <n v="3.6"/>
  </r>
  <r>
    <s v="Call_7499"/>
    <x v="9"/>
    <x v="31"/>
    <x v="3"/>
    <x v="69"/>
    <n v="72"/>
    <n v="4.7"/>
  </r>
  <r>
    <s v="Call_7500"/>
    <x v="13"/>
    <x v="76"/>
    <x v="0"/>
    <x v="69"/>
    <n v="150"/>
    <n v="4.4000000000000004"/>
  </r>
  <r>
    <s v="Call_7501"/>
    <x v="3"/>
    <x v="73"/>
    <x v="1"/>
    <x v="69"/>
    <n v="68"/>
    <n v="4.3"/>
  </r>
  <r>
    <s v="Call_7502"/>
    <x v="1"/>
    <x v="30"/>
    <x v="0"/>
    <x v="69"/>
    <n v="99"/>
    <n v="4.9000000000000004"/>
  </r>
  <r>
    <s v="Call_7503"/>
    <x v="4"/>
    <x v="17"/>
    <x v="1"/>
    <x v="69"/>
    <n v="26"/>
    <n v="4.8"/>
  </r>
  <r>
    <s v="Call_7504"/>
    <x v="9"/>
    <x v="38"/>
    <x v="1"/>
    <x v="69"/>
    <n v="88"/>
    <n v="3.2"/>
  </r>
  <r>
    <s v="Call_7505"/>
    <x v="5"/>
    <x v="41"/>
    <x v="1"/>
    <x v="69"/>
    <n v="124"/>
    <n v="3.4"/>
  </r>
  <r>
    <s v="Call_7506"/>
    <x v="10"/>
    <x v="5"/>
    <x v="1"/>
    <x v="69"/>
    <n v="72"/>
    <n v="3.5"/>
  </r>
  <r>
    <s v="Call_7507"/>
    <x v="0"/>
    <x v="102"/>
    <x v="2"/>
    <x v="70"/>
    <n v="125"/>
    <n v="4.9000000000000004"/>
  </r>
  <r>
    <s v="Call_7508"/>
    <x v="6"/>
    <x v="90"/>
    <x v="0"/>
    <x v="70"/>
    <n v="22"/>
    <n v="4.0999999999999996"/>
  </r>
  <r>
    <s v="Call_7509"/>
    <x v="2"/>
    <x v="34"/>
    <x v="3"/>
    <x v="71"/>
    <n v="70"/>
    <n v="4.9000000000000004"/>
  </r>
  <r>
    <s v="Call_7510"/>
    <x v="11"/>
    <x v="101"/>
    <x v="1"/>
    <x v="71"/>
    <n v="24"/>
    <n v="4.3"/>
  </r>
  <r>
    <s v="Call_7511"/>
    <x v="7"/>
    <x v="29"/>
    <x v="4"/>
    <x v="71"/>
    <n v="32"/>
    <n v="4.0999999999999996"/>
  </r>
  <r>
    <s v="Call_7512"/>
    <x v="13"/>
    <x v="32"/>
    <x v="2"/>
    <x v="71"/>
    <n v="112"/>
    <n v="4.4000000000000004"/>
  </r>
  <r>
    <s v="Call_7513"/>
    <x v="6"/>
    <x v="20"/>
    <x v="1"/>
    <x v="72"/>
    <n v="43"/>
    <n v="4.5"/>
  </r>
  <r>
    <s v="Call_7514"/>
    <x v="10"/>
    <x v="5"/>
    <x v="2"/>
    <x v="72"/>
    <n v="22"/>
    <n v="3.5"/>
  </r>
  <r>
    <s v="Call_7515"/>
    <x v="9"/>
    <x v="115"/>
    <x v="2"/>
    <x v="72"/>
    <n v="93"/>
    <n v="4.4000000000000004"/>
  </r>
  <r>
    <s v="Call_7516"/>
    <x v="6"/>
    <x v="19"/>
    <x v="2"/>
    <x v="72"/>
    <n v="45"/>
    <n v="3.5"/>
  </r>
  <r>
    <s v="Call_7517"/>
    <x v="1"/>
    <x v="116"/>
    <x v="2"/>
    <x v="73"/>
    <n v="96"/>
    <n v="3.8"/>
  </r>
  <r>
    <s v="Call_7518"/>
    <x v="1"/>
    <x v="34"/>
    <x v="1"/>
    <x v="73"/>
    <n v="96"/>
    <n v="3.3"/>
  </r>
  <r>
    <s v="Call_7519"/>
    <x v="2"/>
    <x v="108"/>
    <x v="0"/>
    <x v="73"/>
    <n v="31"/>
    <n v="4.4000000000000004"/>
  </r>
  <r>
    <s v="Call_7520"/>
    <x v="4"/>
    <x v="13"/>
    <x v="1"/>
    <x v="73"/>
    <n v="200"/>
    <n v="3.9"/>
  </r>
  <r>
    <s v="Call_7521"/>
    <x v="1"/>
    <x v="71"/>
    <x v="0"/>
    <x v="73"/>
    <n v="99"/>
    <n v="2.7"/>
  </r>
  <r>
    <s v="Call_7522"/>
    <x v="3"/>
    <x v="117"/>
    <x v="4"/>
    <x v="73"/>
    <n v="144"/>
    <n v="2.9"/>
  </r>
  <r>
    <s v="Call_7523"/>
    <x v="2"/>
    <x v="9"/>
    <x v="2"/>
    <x v="74"/>
    <n v="81"/>
    <n v="4"/>
  </r>
  <r>
    <s v="Call_7524"/>
    <x v="3"/>
    <x v="23"/>
    <x v="4"/>
    <x v="74"/>
    <n v="70"/>
    <n v="4.4000000000000004"/>
  </r>
  <r>
    <s v="Call_7525"/>
    <x v="1"/>
    <x v="47"/>
    <x v="4"/>
    <x v="74"/>
    <n v="148"/>
    <n v="5"/>
  </r>
  <r>
    <s v="Call_7526"/>
    <x v="5"/>
    <x v="44"/>
    <x v="2"/>
    <x v="74"/>
    <n v="215"/>
    <n v="4.0999999999999996"/>
  </r>
  <r>
    <s v="Call_7527"/>
    <x v="5"/>
    <x v="111"/>
    <x v="1"/>
    <x v="74"/>
    <n v="124"/>
    <n v="4.4000000000000004"/>
  </r>
  <r>
    <s v="Call_7528"/>
    <x v="10"/>
    <x v="97"/>
    <x v="3"/>
    <x v="74"/>
    <n v="168"/>
    <n v="4.0999999999999996"/>
  </r>
  <r>
    <s v="Call_7529"/>
    <x v="12"/>
    <x v="85"/>
    <x v="0"/>
    <x v="74"/>
    <n v="90"/>
    <n v="4.5"/>
  </r>
  <r>
    <s v="Call_7530"/>
    <x v="12"/>
    <x v="20"/>
    <x v="2"/>
    <x v="75"/>
    <n v="176"/>
    <n v="4.2"/>
  </r>
  <r>
    <s v="Call_7531"/>
    <x v="4"/>
    <x v="47"/>
    <x v="4"/>
    <x v="75"/>
    <n v="87"/>
    <n v="4.5999999999999996"/>
  </r>
  <r>
    <s v="Call_7532"/>
    <x v="9"/>
    <x v="44"/>
    <x v="1"/>
    <x v="75"/>
    <n v="128"/>
    <n v="4.5"/>
  </r>
  <r>
    <s v="Call_7533"/>
    <x v="14"/>
    <x v="92"/>
    <x v="4"/>
    <x v="75"/>
    <n v="120"/>
    <n v="4.0999999999999996"/>
  </r>
  <r>
    <s v="Call_7534"/>
    <x v="8"/>
    <x v="58"/>
    <x v="3"/>
    <x v="75"/>
    <n v="130"/>
    <n v="4.8"/>
  </r>
  <r>
    <s v="Call_7535"/>
    <x v="11"/>
    <x v="85"/>
    <x v="1"/>
    <x v="75"/>
    <n v="172"/>
    <n v="3.1"/>
  </r>
  <r>
    <s v="Call_7536"/>
    <x v="6"/>
    <x v="37"/>
    <x v="1"/>
    <x v="75"/>
    <n v="58"/>
    <n v="4.9000000000000004"/>
  </r>
  <r>
    <s v="Call_7537"/>
    <x v="5"/>
    <x v="75"/>
    <x v="3"/>
    <x v="76"/>
    <n v="86"/>
    <n v="4.0999999999999996"/>
  </r>
  <r>
    <s v="Call_7538"/>
    <x v="12"/>
    <x v="112"/>
    <x v="3"/>
    <x v="77"/>
    <n v="31"/>
    <n v="4.4000000000000004"/>
  </r>
  <r>
    <s v="Call_7539"/>
    <x v="2"/>
    <x v="107"/>
    <x v="4"/>
    <x v="77"/>
    <n v="72"/>
    <n v="4.4000000000000004"/>
  </r>
  <r>
    <s v="Call_7540"/>
    <x v="12"/>
    <x v="118"/>
    <x v="0"/>
    <x v="78"/>
    <n v="27"/>
    <n v="3"/>
  </r>
  <r>
    <s v="Call_7541"/>
    <x v="14"/>
    <x v="77"/>
    <x v="1"/>
    <x v="78"/>
    <n v="110"/>
    <n v="4.4000000000000004"/>
  </r>
  <r>
    <s v="Call_7542"/>
    <x v="10"/>
    <x v="53"/>
    <x v="4"/>
    <x v="78"/>
    <n v="126"/>
    <n v="3.7"/>
  </r>
  <r>
    <s v="Call_7543"/>
    <x v="9"/>
    <x v="40"/>
    <x v="0"/>
    <x v="78"/>
    <n v="60"/>
    <n v="3.9"/>
  </r>
  <r>
    <s v="Call_7544"/>
    <x v="12"/>
    <x v="82"/>
    <x v="4"/>
    <x v="78"/>
    <n v="35"/>
    <n v="3.5"/>
  </r>
  <r>
    <s v="Call_7545"/>
    <x v="1"/>
    <x v="97"/>
    <x v="1"/>
    <x v="78"/>
    <n v="81"/>
    <n v="3.5"/>
  </r>
  <r>
    <s v="Call_7546"/>
    <x v="0"/>
    <x v="27"/>
    <x v="0"/>
    <x v="78"/>
    <n v="116"/>
    <n v="3.4"/>
  </r>
  <r>
    <s v="Call_7547"/>
    <x v="4"/>
    <x v="119"/>
    <x v="2"/>
    <x v="78"/>
    <n v="60"/>
    <n v="4.5"/>
  </r>
  <r>
    <s v="Call_7548"/>
    <x v="10"/>
    <x v="120"/>
    <x v="0"/>
    <x v="79"/>
    <n v="130"/>
    <n v="4.2"/>
  </r>
  <r>
    <s v="Call_7549"/>
    <x v="7"/>
    <x v="46"/>
    <x v="3"/>
    <x v="79"/>
    <n v="99"/>
    <n v="5"/>
  </r>
  <r>
    <s v="Call_7550"/>
    <x v="11"/>
    <x v="29"/>
    <x v="1"/>
    <x v="79"/>
    <n v="135"/>
    <n v="4.7"/>
  </r>
  <r>
    <s v="Call_7551"/>
    <x v="1"/>
    <x v="6"/>
    <x v="0"/>
    <x v="79"/>
    <n v="42"/>
    <n v="2.8"/>
  </r>
  <r>
    <s v="Call_7552"/>
    <x v="10"/>
    <x v="0"/>
    <x v="3"/>
    <x v="80"/>
    <n v="63"/>
    <n v="3.4"/>
  </r>
  <r>
    <s v="Call_7553"/>
    <x v="5"/>
    <x v="84"/>
    <x v="2"/>
    <x v="80"/>
    <n v="140"/>
    <n v="1.8"/>
  </r>
  <r>
    <s v="Call_7554"/>
    <x v="12"/>
    <x v="116"/>
    <x v="1"/>
    <x v="80"/>
    <n v="128"/>
    <n v="4.2"/>
  </r>
  <r>
    <s v="Call_7555"/>
    <x v="8"/>
    <x v="56"/>
    <x v="4"/>
    <x v="80"/>
    <n v="80"/>
    <n v="4.4000000000000004"/>
  </r>
  <r>
    <s v="Call_7556"/>
    <x v="4"/>
    <x v="48"/>
    <x v="3"/>
    <x v="80"/>
    <n v="28"/>
    <n v="2.7"/>
  </r>
  <r>
    <s v="Call_7557"/>
    <x v="11"/>
    <x v="121"/>
    <x v="2"/>
    <x v="81"/>
    <n v="81"/>
    <n v="5"/>
  </r>
  <r>
    <s v="Call_7558"/>
    <x v="1"/>
    <x v="76"/>
    <x v="1"/>
    <x v="81"/>
    <n v="99"/>
    <n v="3.9"/>
  </r>
  <r>
    <s v="Call_7559"/>
    <x v="5"/>
    <x v="67"/>
    <x v="1"/>
    <x v="81"/>
    <n v="43"/>
    <n v="3.8"/>
  </r>
  <r>
    <s v="Call_7560"/>
    <x v="7"/>
    <x v="101"/>
    <x v="1"/>
    <x v="81"/>
    <n v="34"/>
    <n v="4.5999999999999996"/>
  </r>
  <r>
    <s v="Call_7561"/>
    <x v="5"/>
    <x v="108"/>
    <x v="2"/>
    <x v="81"/>
    <n v="225"/>
    <n v="4.5999999999999996"/>
  </r>
  <r>
    <s v="Call_7562"/>
    <x v="11"/>
    <x v="44"/>
    <x v="4"/>
    <x v="81"/>
    <n v="210"/>
    <n v="4.5"/>
  </r>
  <r>
    <s v="Call_7563"/>
    <x v="12"/>
    <x v="78"/>
    <x v="1"/>
    <x v="81"/>
    <n v="168"/>
    <n v="4.2"/>
  </r>
  <r>
    <s v="Call_7564"/>
    <x v="7"/>
    <x v="47"/>
    <x v="0"/>
    <x v="82"/>
    <n v="82"/>
    <n v="4.5"/>
  </r>
  <r>
    <s v="Call_7565"/>
    <x v="2"/>
    <x v="108"/>
    <x v="3"/>
    <x v="82"/>
    <n v="88"/>
    <n v="4.0999999999999996"/>
  </r>
  <r>
    <s v="Call_7566"/>
    <x v="14"/>
    <x v="48"/>
    <x v="0"/>
    <x v="82"/>
    <n v="111"/>
    <n v="3.3"/>
  </r>
  <r>
    <s v="Call_7567"/>
    <x v="13"/>
    <x v="3"/>
    <x v="4"/>
    <x v="82"/>
    <n v="60"/>
    <n v="3.8"/>
  </r>
  <r>
    <s v="Call_7568"/>
    <x v="4"/>
    <x v="4"/>
    <x v="0"/>
    <x v="82"/>
    <n v="80"/>
    <n v="3"/>
  </r>
  <r>
    <s v="Call_7569"/>
    <x v="13"/>
    <x v="34"/>
    <x v="2"/>
    <x v="83"/>
    <n v="90"/>
    <n v="4.5999999999999996"/>
  </r>
  <r>
    <s v="Call_7570"/>
    <x v="9"/>
    <x v="69"/>
    <x v="0"/>
    <x v="83"/>
    <n v="225"/>
    <n v="2.9"/>
  </r>
  <r>
    <s v="Call_7571"/>
    <x v="0"/>
    <x v="73"/>
    <x v="1"/>
    <x v="84"/>
    <n v="215"/>
    <n v="3.2"/>
  </r>
  <r>
    <s v="Call_7572"/>
    <x v="3"/>
    <x v="60"/>
    <x v="2"/>
    <x v="84"/>
    <n v="45"/>
    <n v="1.5"/>
  </r>
  <r>
    <s v="Call_7573"/>
    <x v="6"/>
    <x v="15"/>
    <x v="1"/>
    <x v="84"/>
    <n v="74"/>
    <n v="4"/>
  </r>
  <r>
    <s v="Call_7574"/>
    <x v="2"/>
    <x v="105"/>
    <x v="2"/>
    <x v="84"/>
    <n v="60"/>
    <n v="3.6"/>
  </r>
  <r>
    <s v="Call_7575"/>
    <x v="7"/>
    <x v="83"/>
    <x v="1"/>
    <x v="84"/>
    <n v="64"/>
    <n v="3.7"/>
  </r>
  <r>
    <s v="Call_7576"/>
    <x v="12"/>
    <x v="51"/>
    <x v="0"/>
    <x v="85"/>
    <n v="110"/>
    <n v="4.8"/>
  </r>
  <r>
    <s v="Call_7577"/>
    <x v="1"/>
    <x v="48"/>
    <x v="4"/>
    <x v="85"/>
    <n v="52"/>
    <n v="1.2"/>
  </r>
  <r>
    <s v="Call_7578"/>
    <x v="2"/>
    <x v="22"/>
    <x v="3"/>
    <x v="86"/>
    <n v="160"/>
    <n v="4.7"/>
  </r>
  <r>
    <s v="Call_7579"/>
    <x v="10"/>
    <x v="65"/>
    <x v="3"/>
    <x v="86"/>
    <n v="215"/>
    <n v="4.7"/>
  </r>
  <r>
    <s v="Call_7580"/>
    <x v="10"/>
    <x v="101"/>
    <x v="4"/>
    <x v="86"/>
    <n v="220"/>
    <n v="4.5"/>
  </r>
  <r>
    <s v="Call_7581"/>
    <x v="6"/>
    <x v="75"/>
    <x v="1"/>
    <x v="87"/>
    <n v="175"/>
    <n v="3.5"/>
  </r>
  <r>
    <s v="Call_7582"/>
    <x v="12"/>
    <x v="32"/>
    <x v="1"/>
    <x v="87"/>
    <n v="145"/>
    <n v="4.0999999999999996"/>
  </r>
  <r>
    <s v="Call_7583"/>
    <x v="3"/>
    <x v="122"/>
    <x v="2"/>
    <x v="87"/>
    <n v="72"/>
    <n v="4.4000000000000004"/>
  </r>
  <r>
    <s v="Call_7584"/>
    <x v="5"/>
    <x v="18"/>
    <x v="1"/>
    <x v="88"/>
    <n v="81"/>
    <n v="3.6"/>
  </r>
  <r>
    <s v="Call_7585"/>
    <x v="11"/>
    <x v="49"/>
    <x v="4"/>
    <x v="88"/>
    <n v="54"/>
    <n v="4.0999999999999996"/>
  </r>
  <r>
    <s v="Call_7586"/>
    <x v="7"/>
    <x v="123"/>
    <x v="2"/>
    <x v="88"/>
    <n v="105"/>
    <n v="4.8"/>
  </r>
  <r>
    <s v="Call_7587"/>
    <x v="11"/>
    <x v="55"/>
    <x v="1"/>
    <x v="89"/>
    <n v="176"/>
    <n v="3.9"/>
  </r>
  <r>
    <s v="Call_7588"/>
    <x v="2"/>
    <x v="99"/>
    <x v="1"/>
    <x v="89"/>
    <n v="115"/>
    <n v="3.8"/>
  </r>
  <r>
    <s v="Call_7589"/>
    <x v="10"/>
    <x v="73"/>
    <x v="0"/>
    <x v="89"/>
    <n v="116"/>
    <n v="3.9"/>
  </r>
  <r>
    <s v="Call_7590"/>
    <x v="10"/>
    <x v="119"/>
    <x v="4"/>
    <x v="89"/>
    <n v="100"/>
    <n v="4.0999999999999996"/>
  </r>
  <r>
    <s v="Call_7591"/>
    <x v="9"/>
    <x v="50"/>
    <x v="4"/>
    <x v="90"/>
    <n v="36"/>
    <n v="2.2000000000000002"/>
  </r>
  <r>
    <s v="Call_7592"/>
    <x v="13"/>
    <x v="95"/>
    <x v="4"/>
    <x v="90"/>
    <n v="114"/>
    <n v="5"/>
  </r>
  <r>
    <s v="Call_7593"/>
    <x v="13"/>
    <x v="124"/>
    <x v="0"/>
    <x v="90"/>
    <n v="24"/>
    <n v="3.8"/>
  </r>
  <r>
    <s v="Call_7594"/>
    <x v="5"/>
    <x v="125"/>
    <x v="1"/>
    <x v="90"/>
    <n v="135"/>
    <n v="4.5999999999999996"/>
  </r>
  <r>
    <s v="Call_7595"/>
    <x v="11"/>
    <x v="33"/>
    <x v="1"/>
    <x v="90"/>
    <n v="30"/>
    <n v="4"/>
  </r>
  <r>
    <s v="Call_7596"/>
    <x v="1"/>
    <x v="29"/>
    <x v="1"/>
    <x v="90"/>
    <n v="84"/>
    <n v="2.8"/>
  </r>
  <r>
    <s v="Call_7597"/>
    <x v="14"/>
    <x v="95"/>
    <x v="3"/>
    <x v="90"/>
    <n v="42"/>
    <n v="4.4000000000000004"/>
  </r>
  <r>
    <s v="Call_7598"/>
    <x v="9"/>
    <x v="123"/>
    <x v="4"/>
    <x v="90"/>
    <n v="117"/>
    <n v="2.4"/>
  </r>
  <r>
    <s v="Call_7599"/>
    <x v="6"/>
    <x v="38"/>
    <x v="2"/>
    <x v="90"/>
    <n v="164"/>
    <n v="4"/>
  </r>
  <r>
    <s v="Call_7600"/>
    <x v="13"/>
    <x v="48"/>
    <x v="3"/>
    <x v="91"/>
    <n v="123"/>
    <n v="4.4000000000000004"/>
  </r>
  <r>
    <s v="Call_7601"/>
    <x v="4"/>
    <x v="4"/>
    <x v="0"/>
    <x v="91"/>
    <n v="172"/>
    <n v="2.9"/>
  </r>
  <r>
    <s v="Call_7602"/>
    <x v="12"/>
    <x v="126"/>
    <x v="4"/>
    <x v="91"/>
    <n v="20"/>
    <n v="4.8"/>
  </r>
  <r>
    <s v="Call_7603"/>
    <x v="13"/>
    <x v="43"/>
    <x v="0"/>
    <x v="91"/>
    <n v="72"/>
    <n v="3.7"/>
  </r>
  <r>
    <s v="Call_7604"/>
    <x v="2"/>
    <x v="33"/>
    <x v="1"/>
    <x v="91"/>
    <n v="32"/>
    <n v="4.8"/>
  </r>
  <r>
    <s v="Call_7605"/>
    <x v="9"/>
    <x v="113"/>
    <x v="3"/>
    <x v="91"/>
    <n v="140"/>
    <n v="3.2"/>
  </r>
  <r>
    <s v="Call_7606"/>
    <x v="2"/>
    <x v="42"/>
    <x v="1"/>
    <x v="92"/>
    <n v="120"/>
    <n v="4.9000000000000004"/>
  </r>
  <r>
    <s v="Call_7607"/>
    <x v="11"/>
    <x v="123"/>
    <x v="1"/>
    <x v="92"/>
    <n v="86"/>
    <n v="2.2000000000000002"/>
  </r>
  <r>
    <s v="Call_7608"/>
    <x v="1"/>
    <x v="53"/>
    <x v="1"/>
    <x v="92"/>
    <n v="132"/>
    <n v="5"/>
  </r>
  <r>
    <s v="Call_7609"/>
    <x v="10"/>
    <x v="90"/>
    <x v="1"/>
    <x v="92"/>
    <n v="80"/>
    <n v="3.3"/>
  </r>
  <r>
    <s v="Call_7610"/>
    <x v="8"/>
    <x v="68"/>
    <x v="0"/>
    <x v="92"/>
    <n v="132"/>
    <n v="3.7"/>
  </r>
  <r>
    <s v="Call_7611"/>
    <x v="2"/>
    <x v="71"/>
    <x v="3"/>
    <x v="92"/>
    <n v="27"/>
    <n v="3.7"/>
  </r>
  <r>
    <s v="Call_7612"/>
    <x v="6"/>
    <x v="38"/>
    <x v="3"/>
    <x v="93"/>
    <n v="68"/>
    <n v="3.6"/>
  </r>
  <r>
    <s v="Call_7613"/>
    <x v="8"/>
    <x v="0"/>
    <x v="1"/>
    <x v="93"/>
    <n v="22"/>
    <n v="4.7"/>
  </r>
  <r>
    <s v="Call_7614"/>
    <x v="11"/>
    <x v="15"/>
    <x v="3"/>
    <x v="93"/>
    <n v="42"/>
    <n v="3.1"/>
  </r>
  <r>
    <s v="Call_7615"/>
    <x v="6"/>
    <x v="5"/>
    <x v="3"/>
    <x v="94"/>
    <n v="38"/>
    <n v="3.3"/>
  </r>
  <r>
    <s v="Call_7616"/>
    <x v="12"/>
    <x v="127"/>
    <x v="3"/>
    <x v="94"/>
    <n v="42"/>
    <n v="4.5"/>
  </r>
  <r>
    <s v="Call_7617"/>
    <x v="5"/>
    <x v="128"/>
    <x v="0"/>
    <x v="94"/>
    <n v="75"/>
    <n v="3.9"/>
  </r>
  <r>
    <s v="Call_7618"/>
    <x v="12"/>
    <x v="93"/>
    <x v="4"/>
    <x v="95"/>
    <n v="23"/>
    <n v="4.9000000000000004"/>
  </r>
  <r>
    <s v="Call_7619"/>
    <x v="12"/>
    <x v="34"/>
    <x v="0"/>
    <x v="95"/>
    <n v="200"/>
    <n v="4.8"/>
  </r>
  <r>
    <s v="Call_7620"/>
    <x v="3"/>
    <x v="21"/>
    <x v="1"/>
    <x v="96"/>
    <n v="45"/>
    <n v="3.6"/>
  </r>
  <r>
    <s v="Call_7621"/>
    <x v="11"/>
    <x v="54"/>
    <x v="1"/>
    <x v="96"/>
    <n v="105"/>
    <n v="3.5"/>
  </r>
  <r>
    <s v="Call_7622"/>
    <x v="4"/>
    <x v="11"/>
    <x v="1"/>
    <x v="96"/>
    <n v="22"/>
    <n v="3.8"/>
  </r>
  <r>
    <s v="Call_7623"/>
    <x v="7"/>
    <x v="59"/>
    <x v="3"/>
    <x v="97"/>
    <n v="126"/>
    <n v="4.4000000000000004"/>
  </r>
  <r>
    <s v="Call_7624"/>
    <x v="10"/>
    <x v="19"/>
    <x v="3"/>
    <x v="97"/>
    <n v="35"/>
    <n v="3"/>
  </r>
  <r>
    <s v="Call_7625"/>
    <x v="2"/>
    <x v="129"/>
    <x v="1"/>
    <x v="97"/>
    <n v="84"/>
    <n v="4.5"/>
  </r>
  <r>
    <s v="Call_7626"/>
    <x v="14"/>
    <x v="19"/>
    <x v="1"/>
    <x v="98"/>
    <n v="172"/>
    <n v="4.5"/>
  </r>
  <r>
    <s v="Call_7627"/>
    <x v="7"/>
    <x v="12"/>
    <x v="0"/>
    <x v="98"/>
    <n v="114"/>
    <n v="4"/>
  </r>
  <r>
    <s v="Call_7628"/>
    <x v="14"/>
    <x v="9"/>
    <x v="0"/>
    <x v="98"/>
    <n v="60"/>
    <n v="3.8"/>
  </r>
  <r>
    <s v="Call_7629"/>
    <x v="13"/>
    <x v="130"/>
    <x v="2"/>
    <x v="98"/>
    <n v="26"/>
    <n v="3.3"/>
  </r>
  <r>
    <s v="Call_7630"/>
    <x v="5"/>
    <x v="131"/>
    <x v="1"/>
    <x v="98"/>
    <n v="210"/>
    <n v="4.3"/>
  </r>
  <r>
    <s v="Call_7631"/>
    <x v="9"/>
    <x v="106"/>
    <x v="0"/>
    <x v="98"/>
    <n v="129"/>
    <n v="4.2"/>
  </r>
  <r>
    <s v="Call_7632"/>
    <x v="10"/>
    <x v="71"/>
    <x v="2"/>
    <x v="98"/>
    <n v="215"/>
    <n v="4.3"/>
  </r>
  <r>
    <s v="Call_7633"/>
    <x v="13"/>
    <x v="132"/>
    <x v="4"/>
    <x v="98"/>
    <n v="69"/>
    <n v="4.5999999999999996"/>
  </r>
  <r>
    <s v="Call_7634"/>
    <x v="10"/>
    <x v="3"/>
    <x v="4"/>
    <x v="98"/>
    <n v="140"/>
    <n v="3"/>
  </r>
  <r>
    <s v="Call_7635"/>
    <x v="11"/>
    <x v="64"/>
    <x v="2"/>
    <x v="99"/>
    <n v="156"/>
    <n v="2.7"/>
  </r>
  <r>
    <s v="Call_7636"/>
    <x v="13"/>
    <x v="103"/>
    <x v="4"/>
    <x v="99"/>
    <n v="164"/>
    <n v="3.1"/>
  </r>
  <r>
    <s v="Call_7637"/>
    <x v="8"/>
    <x v="4"/>
    <x v="4"/>
    <x v="99"/>
    <n v="195"/>
    <n v="2.6"/>
  </r>
  <r>
    <s v="Call_7638"/>
    <x v="1"/>
    <x v="98"/>
    <x v="3"/>
    <x v="99"/>
    <n v="74"/>
    <n v="4.5999999999999996"/>
  </r>
  <r>
    <s v="Call_7639"/>
    <x v="12"/>
    <x v="122"/>
    <x v="2"/>
    <x v="99"/>
    <n v="100"/>
    <n v="4"/>
  </r>
  <r>
    <s v="Call_7640"/>
    <x v="0"/>
    <x v="10"/>
    <x v="1"/>
    <x v="99"/>
    <n v="185"/>
    <n v="4.5"/>
  </r>
  <r>
    <s v="Call_7641"/>
    <x v="7"/>
    <x v="53"/>
    <x v="2"/>
    <x v="99"/>
    <n v="130"/>
    <n v="1.9"/>
  </r>
  <r>
    <s v="Call_7642"/>
    <x v="6"/>
    <x v="50"/>
    <x v="3"/>
    <x v="100"/>
    <n v="21"/>
    <n v="2.6"/>
  </r>
  <r>
    <s v="Call_7643"/>
    <x v="14"/>
    <x v="90"/>
    <x v="0"/>
    <x v="100"/>
    <n v="88"/>
    <n v="4.3"/>
  </r>
  <r>
    <s v="Call_7644"/>
    <x v="2"/>
    <x v="28"/>
    <x v="4"/>
    <x v="100"/>
    <n v="35"/>
    <n v="4.4000000000000004"/>
  </r>
  <r>
    <s v="Call_7645"/>
    <x v="14"/>
    <x v="133"/>
    <x v="1"/>
    <x v="100"/>
    <n v="68"/>
    <n v="4.3"/>
  </r>
  <r>
    <s v="Call_7646"/>
    <x v="11"/>
    <x v="118"/>
    <x v="1"/>
    <x v="100"/>
    <n v="148"/>
    <n v="4.5"/>
  </r>
  <r>
    <s v="Call_7647"/>
    <x v="2"/>
    <x v="117"/>
    <x v="0"/>
    <x v="101"/>
    <n v="81"/>
    <n v="4.2"/>
  </r>
  <r>
    <s v="Call_7648"/>
    <x v="7"/>
    <x v="91"/>
    <x v="0"/>
    <x v="101"/>
    <n v="75"/>
    <n v="3.9"/>
  </r>
  <r>
    <s v="Call_7649"/>
    <x v="9"/>
    <x v="53"/>
    <x v="2"/>
    <x v="102"/>
    <n v="32"/>
    <n v="3.6"/>
  </r>
  <r>
    <s v="Call_7650"/>
    <x v="13"/>
    <x v="99"/>
    <x v="2"/>
    <x v="102"/>
    <n v="156"/>
    <n v="3.8"/>
  </r>
  <r>
    <s v="Call_7651"/>
    <x v="1"/>
    <x v="31"/>
    <x v="1"/>
    <x v="102"/>
    <n v="99"/>
    <n v="4.9000000000000004"/>
  </r>
  <r>
    <s v="Call_7652"/>
    <x v="0"/>
    <x v="134"/>
    <x v="4"/>
    <x v="102"/>
    <n v="26"/>
    <n v="4"/>
  </r>
  <r>
    <s v="Call_7653"/>
    <x v="4"/>
    <x v="68"/>
    <x v="2"/>
    <x v="102"/>
    <n v="84"/>
    <n v="4.0999999999999996"/>
  </r>
  <r>
    <s v="Call_7654"/>
    <x v="3"/>
    <x v="73"/>
    <x v="4"/>
    <x v="102"/>
    <n v="84"/>
    <n v="4.8"/>
  </r>
  <r>
    <s v="Call_7655"/>
    <x v="10"/>
    <x v="90"/>
    <x v="1"/>
    <x v="102"/>
    <n v="170"/>
    <n v="2.2999999999999998"/>
  </r>
  <r>
    <s v="Call_7656"/>
    <x v="14"/>
    <x v="63"/>
    <x v="2"/>
    <x v="102"/>
    <n v="35"/>
    <n v="4.4000000000000004"/>
  </r>
  <r>
    <s v="Call_7657"/>
    <x v="6"/>
    <x v="117"/>
    <x v="2"/>
    <x v="103"/>
    <n v="35"/>
    <n v="3.8"/>
  </r>
  <r>
    <s v="Call_7658"/>
    <x v="11"/>
    <x v="0"/>
    <x v="2"/>
    <x v="103"/>
    <n v="132"/>
    <n v="5"/>
  </r>
  <r>
    <s v="Call_7659"/>
    <x v="1"/>
    <x v="25"/>
    <x v="0"/>
    <x v="104"/>
    <n v="144"/>
    <n v="3.3"/>
  </r>
  <r>
    <s v="Call_7660"/>
    <x v="14"/>
    <x v="15"/>
    <x v="1"/>
    <x v="104"/>
    <n v="48"/>
    <n v="5"/>
  </r>
  <r>
    <s v="Call_7661"/>
    <x v="14"/>
    <x v="71"/>
    <x v="0"/>
    <x v="104"/>
    <n v="200"/>
    <n v="2.2999999999999998"/>
  </r>
  <r>
    <s v="Call_7662"/>
    <x v="10"/>
    <x v="84"/>
    <x v="4"/>
    <x v="104"/>
    <n v="38"/>
    <n v="4.8"/>
  </r>
  <r>
    <s v="Call_7663"/>
    <x v="11"/>
    <x v="125"/>
    <x v="3"/>
    <x v="104"/>
    <n v="81"/>
    <n v="3.7"/>
  </r>
  <r>
    <s v="Call_7664"/>
    <x v="1"/>
    <x v="114"/>
    <x v="2"/>
    <x v="104"/>
    <n v="120"/>
    <n v="4.2"/>
  </r>
  <r>
    <s v="Call_7665"/>
    <x v="8"/>
    <x v="135"/>
    <x v="4"/>
    <x v="104"/>
    <n v="74"/>
    <n v="4.8"/>
  </r>
  <r>
    <s v="Call_7666"/>
    <x v="1"/>
    <x v="62"/>
    <x v="2"/>
    <x v="105"/>
    <n v="128"/>
    <n v="4.7"/>
  </r>
  <r>
    <s v="Call_7667"/>
    <x v="3"/>
    <x v="48"/>
    <x v="1"/>
    <x v="105"/>
    <n v="21"/>
    <n v="3.9"/>
  </r>
  <r>
    <s v="Call_7668"/>
    <x v="14"/>
    <x v="93"/>
    <x v="2"/>
    <x v="105"/>
    <n v="110"/>
    <n v="4.3"/>
  </r>
  <r>
    <s v="Call_7669"/>
    <x v="1"/>
    <x v="97"/>
    <x v="2"/>
    <x v="105"/>
    <n v="145"/>
    <n v="4"/>
  </r>
  <r>
    <s v="Call_7670"/>
    <x v="14"/>
    <x v="34"/>
    <x v="3"/>
    <x v="105"/>
    <n v="129"/>
    <n v="4"/>
  </r>
  <r>
    <s v="Call_7671"/>
    <x v="6"/>
    <x v="5"/>
    <x v="0"/>
    <x v="105"/>
    <n v="156"/>
    <n v="3.2"/>
  </r>
  <r>
    <s v="Call_7672"/>
    <x v="8"/>
    <x v="49"/>
    <x v="2"/>
    <x v="106"/>
    <n v="120"/>
    <n v="3.8"/>
  </r>
  <r>
    <s v="Call_7673"/>
    <x v="3"/>
    <x v="136"/>
    <x v="3"/>
    <x v="106"/>
    <n v="62"/>
    <n v="3.4"/>
  </r>
  <r>
    <s v="Call_7674"/>
    <x v="9"/>
    <x v="76"/>
    <x v="2"/>
    <x v="106"/>
    <n v="160"/>
    <n v="3.2"/>
  </r>
  <r>
    <s v="Call_7675"/>
    <x v="1"/>
    <x v="54"/>
    <x v="2"/>
    <x v="106"/>
    <n v="56"/>
    <n v="4.7"/>
  </r>
  <r>
    <s v="Call_7676"/>
    <x v="5"/>
    <x v="117"/>
    <x v="4"/>
    <x v="106"/>
    <n v="72"/>
    <n v="4"/>
  </r>
  <r>
    <s v="Call_7677"/>
    <x v="1"/>
    <x v="12"/>
    <x v="1"/>
    <x v="107"/>
    <n v="81"/>
    <n v="4.8"/>
  </r>
  <r>
    <s v="Call_7678"/>
    <x v="3"/>
    <x v="75"/>
    <x v="2"/>
    <x v="107"/>
    <n v="144"/>
    <n v="3.9"/>
  </r>
  <r>
    <s v="Call_7679"/>
    <x v="2"/>
    <x v="86"/>
    <x v="1"/>
    <x v="107"/>
    <n v="111"/>
    <n v="4.3"/>
  </r>
  <r>
    <s v="Call_7680"/>
    <x v="14"/>
    <x v="137"/>
    <x v="3"/>
    <x v="107"/>
    <n v="43"/>
    <n v="4.2"/>
  </r>
  <r>
    <s v="Call_7681"/>
    <x v="6"/>
    <x v="37"/>
    <x v="4"/>
    <x v="107"/>
    <n v="41"/>
    <n v="4.9000000000000004"/>
  </r>
  <r>
    <s v="Call_7682"/>
    <x v="2"/>
    <x v="80"/>
    <x v="4"/>
    <x v="107"/>
    <n v="74"/>
    <n v="4"/>
  </r>
  <r>
    <s v="Call_7683"/>
    <x v="12"/>
    <x v="29"/>
    <x v="2"/>
    <x v="107"/>
    <n v="43"/>
    <n v="4.9000000000000004"/>
  </r>
  <r>
    <s v="Call_7684"/>
    <x v="10"/>
    <x v="114"/>
    <x v="4"/>
    <x v="107"/>
    <n v="128"/>
    <n v="3.6"/>
  </r>
  <r>
    <s v="Call_7685"/>
    <x v="0"/>
    <x v="92"/>
    <x v="4"/>
    <x v="108"/>
    <n v="144"/>
    <n v="4.0999999999999996"/>
  </r>
  <r>
    <s v="Call_7686"/>
    <x v="12"/>
    <x v="55"/>
    <x v="1"/>
    <x v="108"/>
    <n v="132"/>
    <n v="4.9000000000000004"/>
  </r>
  <r>
    <s v="Call_7687"/>
    <x v="2"/>
    <x v="130"/>
    <x v="1"/>
    <x v="108"/>
    <n v="180"/>
    <n v="3.9"/>
  </r>
  <r>
    <s v="Call_7688"/>
    <x v="4"/>
    <x v="138"/>
    <x v="1"/>
    <x v="108"/>
    <n v="31"/>
    <n v="4.0999999999999996"/>
  </r>
  <r>
    <s v="Call_7689"/>
    <x v="2"/>
    <x v="131"/>
    <x v="1"/>
    <x v="108"/>
    <n v="102"/>
    <n v="3.8"/>
  </r>
  <r>
    <s v="Call_7690"/>
    <x v="5"/>
    <x v="116"/>
    <x v="2"/>
    <x v="109"/>
    <n v="175"/>
    <n v="4.8"/>
  </r>
  <r>
    <s v="Call_7691"/>
    <x v="12"/>
    <x v="137"/>
    <x v="0"/>
    <x v="109"/>
    <n v="87"/>
    <n v="4.7"/>
  </r>
  <r>
    <s v="Call_7692"/>
    <x v="8"/>
    <x v="28"/>
    <x v="2"/>
    <x v="109"/>
    <n v="66"/>
    <n v="4.2"/>
  </r>
  <r>
    <s v="Call_7693"/>
    <x v="8"/>
    <x v="7"/>
    <x v="2"/>
    <x v="109"/>
    <n v="25"/>
    <n v="3.2"/>
  </r>
  <r>
    <s v="Call_7694"/>
    <x v="2"/>
    <x v="66"/>
    <x v="1"/>
    <x v="109"/>
    <n v="126"/>
    <n v="3.4"/>
  </r>
  <r>
    <s v="Call_7695"/>
    <x v="0"/>
    <x v="97"/>
    <x v="3"/>
    <x v="110"/>
    <n v="42"/>
    <n v="4.5999999999999996"/>
  </r>
  <r>
    <s v="Call_7696"/>
    <x v="5"/>
    <x v="58"/>
    <x v="0"/>
    <x v="110"/>
    <n v="225"/>
    <n v="1.9"/>
  </r>
  <r>
    <s v="Call_7697"/>
    <x v="3"/>
    <x v="139"/>
    <x v="0"/>
    <x v="110"/>
    <n v="42"/>
    <n v="3.3"/>
  </r>
  <r>
    <s v="Call_7698"/>
    <x v="2"/>
    <x v="61"/>
    <x v="3"/>
    <x v="111"/>
    <n v="110"/>
    <n v="3.1"/>
  </r>
  <r>
    <s v="Call_7699"/>
    <x v="10"/>
    <x v="125"/>
    <x v="1"/>
    <x v="111"/>
    <n v="225"/>
    <n v="4.8"/>
  </r>
  <r>
    <s v="Call_7700"/>
    <x v="8"/>
    <x v="10"/>
    <x v="4"/>
    <x v="112"/>
    <n v="125"/>
    <n v="3.3"/>
  </r>
  <r>
    <s v="Call_7701"/>
    <x v="5"/>
    <x v="22"/>
    <x v="1"/>
    <x v="112"/>
    <n v="78"/>
    <n v="2.9"/>
  </r>
  <r>
    <s v="Call_7702"/>
    <x v="5"/>
    <x v="22"/>
    <x v="3"/>
    <x v="112"/>
    <n v="40"/>
    <n v="2.4"/>
  </r>
  <r>
    <s v="Call_7703"/>
    <x v="9"/>
    <x v="107"/>
    <x v="2"/>
    <x v="112"/>
    <n v="150"/>
    <n v="4.5999999999999996"/>
  </r>
  <r>
    <s v="Call_7704"/>
    <x v="2"/>
    <x v="140"/>
    <x v="1"/>
    <x v="112"/>
    <n v="96"/>
    <n v="4.8"/>
  </r>
  <r>
    <s v="Call_7705"/>
    <x v="8"/>
    <x v="48"/>
    <x v="3"/>
    <x v="113"/>
    <n v="75"/>
    <n v="4.8"/>
  </r>
  <r>
    <s v="Call_7706"/>
    <x v="9"/>
    <x v="22"/>
    <x v="3"/>
    <x v="113"/>
    <n v="60"/>
    <n v="3.6"/>
  </r>
  <r>
    <s v="Call_7707"/>
    <x v="14"/>
    <x v="73"/>
    <x v="1"/>
    <x v="114"/>
    <n v="41"/>
    <n v="4.8"/>
  </r>
  <r>
    <s v="Call_7708"/>
    <x v="7"/>
    <x v="65"/>
    <x v="2"/>
    <x v="114"/>
    <n v="20"/>
    <n v="4.2"/>
  </r>
  <r>
    <s v="Call_7709"/>
    <x v="1"/>
    <x v="141"/>
    <x v="4"/>
    <x v="114"/>
    <n v="84"/>
    <n v="2.6"/>
  </r>
  <r>
    <s v="Call_7710"/>
    <x v="8"/>
    <x v="77"/>
    <x v="0"/>
    <x v="114"/>
    <n v="140"/>
    <n v="3.7"/>
  </r>
  <r>
    <s v="Call_7711"/>
    <x v="11"/>
    <x v="21"/>
    <x v="1"/>
    <x v="114"/>
    <n v="66"/>
    <n v="4.8"/>
  </r>
  <r>
    <s v="Call_7712"/>
    <x v="6"/>
    <x v="1"/>
    <x v="2"/>
    <x v="114"/>
    <n v="105"/>
    <n v="4.7"/>
  </r>
  <r>
    <s v="Call_7713"/>
    <x v="0"/>
    <x v="10"/>
    <x v="3"/>
    <x v="115"/>
    <n v="104"/>
    <n v="4.0999999999999996"/>
  </r>
  <r>
    <s v="Call_7714"/>
    <x v="7"/>
    <x v="103"/>
    <x v="4"/>
    <x v="115"/>
    <n v="123"/>
    <n v="3.2"/>
  </r>
  <r>
    <s v="Call_7715"/>
    <x v="2"/>
    <x v="142"/>
    <x v="3"/>
    <x v="116"/>
    <n v="215"/>
    <n v="4.3"/>
  </r>
  <r>
    <s v="Call_7716"/>
    <x v="0"/>
    <x v="74"/>
    <x v="1"/>
    <x v="116"/>
    <n v="46"/>
    <n v="0.7"/>
  </r>
  <r>
    <s v="Call_7717"/>
    <x v="9"/>
    <x v="84"/>
    <x v="4"/>
    <x v="116"/>
    <n v="115"/>
    <n v="3.7"/>
  </r>
  <r>
    <s v="Call_7718"/>
    <x v="0"/>
    <x v="129"/>
    <x v="4"/>
    <x v="116"/>
    <n v="124"/>
    <n v="3.9"/>
  </r>
  <r>
    <s v="Call_7719"/>
    <x v="13"/>
    <x v="78"/>
    <x v="4"/>
    <x v="117"/>
    <n v="205"/>
    <n v="4.5"/>
  </r>
  <r>
    <s v="Call_7720"/>
    <x v="14"/>
    <x v="75"/>
    <x v="2"/>
    <x v="117"/>
    <n v="90"/>
    <n v="2.8"/>
  </r>
  <r>
    <s v="Call_7721"/>
    <x v="9"/>
    <x v="22"/>
    <x v="1"/>
    <x v="117"/>
    <n v="92"/>
    <n v="4.9000000000000004"/>
  </r>
  <r>
    <s v="Call_7722"/>
    <x v="8"/>
    <x v="101"/>
    <x v="3"/>
    <x v="118"/>
    <n v="108"/>
    <n v="4.2"/>
  </r>
  <r>
    <s v="Call_7723"/>
    <x v="14"/>
    <x v="70"/>
    <x v="3"/>
    <x v="118"/>
    <n v="54"/>
    <n v="4.4000000000000004"/>
  </r>
  <r>
    <s v="Call_7724"/>
    <x v="8"/>
    <x v="95"/>
    <x v="3"/>
    <x v="119"/>
    <n v="44"/>
    <n v="3.5"/>
  </r>
  <r>
    <s v="Call_7725"/>
    <x v="11"/>
    <x v="65"/>
    <x v="3"/>
    <x v="119"/>
    <n v="44"/>
    <n v="4.7"/>
  </r>
  <r>
    <s v="Call_7726"/>
    <x v="0"/>
    <x v="143"/>
    <x v="1"/>
    <x v="120"/>
    <n v="37"/>
    <n v="4.9000000000000004"/>
  </r>
  <r>
    <s v="Call_7727"/>
    <x v="1"/>
    <x v="7"/>
    <x v="2"/>
    <x v="120"/>
    <n v="180"/>
    <n v="4.5"/>
  </r>
  <r>
    <s v="Call_7728"/>
    <x v="0"/>
    <x v="59"/>
    <x v="4"/>
    <x v="120"/>
    <n v="105"/>
    <n v="4.9000000000000004"/>
  </r>
  <r>
    <s v="Call_7729"/>
    <x v="11"/>
    <x v="21"/>
    <x v="0"/>
    <x v="120"/>
    <n v="87"/>
    <n v="3.6"/>
  </r>
  <r>
    <s v="Call_7730"/>
    <x v="9"/>
    <x v="128"/>
    <x v="2"/>
    <x v="120"/>
    <n v="52"/>
    <n v="3.8"/>
  </r>
  <r>
    <s v="Call_7731"/>
    <x v="4"/>
    <x v="8"/>
    <x v="4"/>
    <x v="120"/>
    <n v="63"/>
    <n v="3.5"/>
  </r>
  <r>
    <s v="Call_7732"/>
    <x v="10"/>
    <x v="144"/>
    <x v="1"/>
    <x v="121"/>
    <n v="195"/>
    <n v="4.8"/>
  </r>
  <r>
    <s v="Call_7733"/>
    <x v="14"/>
    <x v="34"/>
    <x v="3"/>
    <x v="122"/>
    <n v="176"/>
    <n v="4.5"/>
  </r>
  <r>
    <s v="Call_7734"/>
    <x v="6"/>
    <x v="17"/>
    <x v="2"/>
    <x v="123"/>
    <n v="31"/>
    <n v="3.3"/>
  </r>
  <r>
    <s v="Call_7735"/>
    <x v="2"/>
    <x v="128"/>
    <x v="2"/>
    <x v="124"/>
    <n v="27"/>
    <n v="3.2"/>
  </r>
  <r>
    <s v="Call_7736"/>
    <x v="7"/>
    <x v="129"/>
    <x v="3"/>
    <x v="124"/>
    <n v="76"/>
    <n v="4.9000000000000004"/>
  </r>
  <r>
    <s v="Call_7737"/>
    <x v="4"/>
    <x v="111"/>
    <x v="4"/>
    <x v="124"/>
    <n v="62"/>
    <n v="4.8"/>
  </r>
  <r>
    <s v="Call_7738"/>
    <x v="7"/>
    <x v="22"/>
    <x v="1"/>
    <x v="125"/>
    <n v="100"/>
    <n v="1.3"/>
  </r>
  <r>
    <s v="Call_7739"/>
    <x v="13"/>
    <x v="102"/>
    <x v="2"/>
    <x v="125"/>
    <n v="44"/>
    <n v="3.1"/>
  </r>
  <r>
    <s v="Call_7740"/>
    <x v="2"/>
    <x v="86"/>
    <x v="3"/>
    <x v="125"/>
    <n v="168"/>
    <n v="3.4"/>
  </r>
  <r>
    <s v="Call_7741"/>
    <x v="5"/>
    <x v="108"/>
    <x v="3"/>
    <x v="126"/>
    <n v="200"/>
    <n v="4.5999999999999996"/>
  </r>
  <r>
    <s v="Call_7742"/>
    <x v="1"/>
    <x v="85"/>
    <x v="2"/>
    <x v="126"/>
    <n v="84"/>
    <n v="4.3"/>
  </r>
  <r>
    <s v="Call_7743"/>
    <x v="14"/>
    <x v="145"/>
    <x v="3"/>
    <x v="127"/>
    <n v="117"/>
    <n v="2.7"/>
  </r>
  <r>
    <s v="Call_7744"/>
    <x v="10"/>
    <x v="98"/>
    <x v="1"/>
    <x v="127"/>
    <n v="63"/>
    <n v="4.2"/>
  </r>
  <r>
    <s v="Call_7745"/>
    <x v="2"/>
    <x v="24"/>
    <x v="3"/>
    <x v="128"/>
    <n v="145"/>
    <n v="4.9000000000000004"/>
  </r>
  <r>
    <s v="Call_7746"/>
    <x v="14"/>
    <x v="12"/>
    <x v="2"/>
    <x v="128"/>
    <n v="220"/>
    <n v="3.2"/>
  </r>
  <r>
    <s v="Call_7747"/>
    <x v="8"/>
    <x v="54"/>
    <x v="1"/>
    <x v="128"/>
    <n v="26"/>
    <n v="4.7"/>
  </r>
  <r>
    <s v="Call_7748"/>
    <x v="2"/>
    <x v="117"/>
    <x v="3"/>
    <x v="128"/>
    <n v="78"/>
    <n v="4.3"/>
  </r>
  <r>
    <s v="Call_7749"/>
    <x v="6"/>
    <x v="79"/>
    <x v="4"/>
    <x v="129"/>
    <n v="132"/>
    <n v="4.3"/>
  </r>
  <r>
    <s v="Call_7750"/>
    <x v="9"/>
    <x v="38"/>
    <x v="4"/>
    <x v="130"/>
    <n v="68"/>
    <n v="3.7"/>
  </r>
  <r>
    <s v="Call_7751"/>
    <x v="1"/>
    <x v="19"/>
    <x v="2"/>
    <x v="131"/>
    <n v="129"/>
    <n v="4.7"/>
  </r>
  <r>
    <s v="Call_7752"/>
    <x v="12"/>
    <x v="99"/>
    <x v="4"/>
    <x v="131"/>
    <n v="115"/>
    <n v="4.9000000000000004"/>
  </r>
  <r>
    <s v="Call_7753"/>
    <x v="12"/>
    <x v="107"/>
    <x v="4"/>
    <x v="131"/>
    <n v="128"/>
    <n v="3.9"/>
  </r>
  <r>
    <s v="Call_7754"/>
    <x v="12"/>
    <x v="146"/>
    <x v="2"/>
    <x v="131"/>
    <n v="90"/>
    <n v="4.5"/>
  </r>
  <r>
    <s v="Call_7755"/>
    <x v="8"/>
    <x v="77"/>
    <x v="3"/>
    <x v="132"/>
    <n v="39"/>
    <n v="4.5999999999999996"/>
  </r>
  <r>
    <s v="Call_7756"/>
    <x v="6"/>
    <x v="90"/>
    <x v="4"/>
    <x v="132"/>
    <n v="132"/>
    <n v="3.3"/>
  </r>
  <r>
    <s v="Call_7757"/>
    <x v="4"/>
    <x v="147"/>
    <x v="4"/>
    <x v="132"/>
    <n v="170"/>
    <n v="3.8"/>
  </r>
  <r>
    <s v="Call_7758"/>
    <x v="12"/>
    <x v="86"/>
    <x v="2"/>
    <x v="132"/>
    <n v="42"/>
    <n v="4.7"/>
  </r>
  <r>
    <s v="Call_7759"/>
    <x v="3"/>
    <x v="23"/>
    <x v="3"/>
    <x v="133"/>
    <n v="37"/>
    <n v="4"/>
  </r>
  <r>
    <s v="Call_7760"/>
    <x v="1"/>
    <x v="146"/>
    <x v="3"/>
    <x v="133"/>
    <n v="88"/>
    <n v="4.7"/>
  </r>
  <r>
    <s v="Call_7761"/>
    <x v="14"/>
    <x v="47"/>
    <x v="3"/>
    <x v="133"/>
    <n v="80"/>
    <n v="2.5"/>
  </r>
  <r>
    <s v="Call_7762"/>
    <x v="6"/>
    <x v="44"/>
    <x v="0"/>
    <x v="134"/>
    <n v="123"/>
    <n v="3.6"/>
  </r>
  <r>
    <s v="Call_7763"/>
    <x v="10"/>
    <x v="122"/>
    <x v="4"/>
    <x v="134"/>
    <n v="31"/>
    <n v="3.7"/>
  </r>
  <r>
    <s v="Call_7764"/>
    <x v="13"/>
    <x v="58"/>
    <x v="1"/>
    <x v="134"/>
    <n v="205"/>
    <n v="3.9"/>
  </r>
  <r>
    <s v="Call_7765"/>
    <x v="7"/>
    <x v="89"/>
    <x v="3"/>
    <x v="135"/>
    <n v="123"/>
    <n v="3.7"/>
  </r>
  <r>
    <s v="Call_7766"/>
    <x v="4"/>
    <x v="148"/>
    <x v="4"/>
    <x v="135"/>
    <n v="123"/>
    <n v="4.3"/>
  </r>
  <r>
    <s v="Call_7767"/>
    <x v="14"/>
    <x v="149"/>
    <x v="4"/>
    <x v="135"/>
    <n v="36"/>
    <n v="2.9"/>
  </r>
  <r>
    <s v="Call_7768"/>
    <x v="7"/>
    <x v="22"/>
    <x v="4"/>
    <x v="135"/>
    <n v="116"/>
    <n v="4.3"/>
  </r>
  <r>
    <s v="Call_7769"/>
    <x v="9"/>
    <x v="86"/>
    <x v="4"/>
    <x v="135"/>
    <n v="40"/>
    <n v="4.9000000000000004"/>
  </r>
  <r>
    <s v="Call_7770"/>
    <x v="9"/>
    <x v="146"/>
    <x v="3"/>
    <x v="135"/>
    <n v="40"/>
    <n v="4"/>
  </r>
  <r>
    <s v="Call_7771"/>
    <x v="13"/>
    <x v="50"/>
    <x v="2"/>
    <x v="136"/>
    <n v="82"/>
    <n v="4"/>
  </r>
  <r>
    <s v="Call_7772"/>
    <x v="8"/>
    <x v="6"/>
    <x v="0"/>
    <x v="136"/>
    <n v="62"/>
    <n v="3.4"/>
  </r>
  <r>
    <s v="Call_7773"/>
    <x v="3"/>
    <x v="64"/>
    <x v="0"/>
    <x v="136"/>
    <n v="135"/>
    <n v="3.9"/>
  </r>
  <r>
    <s v="Call_7774"/>
    <x v="13"/>
    <x v="50"/>
    <x v="1"/>
    <x v="136"/>
    <n v="155"/>
    <n v="2.1"/>
  </r>
  <r>
    <s v="Call_7775"/>
    <x v="6"/>
    <x v="62"/>
    <x v="2"/>
    <x v="136"/>
    <n v="37"/>
    <n v="4.9000000000000004"/>
  </r>
  <r>
    <s v="Call_7776"/>
    <x v="13"/>
    <x v="38"/>
    <x v="3"/>
    <x v="137"/>
    <n v="56"/>
    <n v="3.4"/>
  </r>
  <r>
    <s v="Call_7777"/>
    <x v="13"/>
    <x v="58"/>
    <x v="3"/>
    <x v="137"/>
    <n v="185"/>
    <n v="5"/>
  </r>
  <r>
    <s v="Call_7778"/>
    <x v="0"/>
    <x v="71"/>
    <x v="2"/>
    <x v="138"/>
    <n v="145"/>
    <n v="4.5"/>
  </r>
  <r>
    <s v="Call_7779"/>
    <x v="7"/>
    <x v="101"/>
    <x v="0"/>
    <x v="138"/>
    <n v="116"/>
    <n v="2.6"/>
  </r>
  <r>
    <s v="Call_7780"/>
    <x v="6"/>
    <x v="150"/>
    <x v="4"/>
    <x v="138"/>
    <n v="45"/>
    <n v="4.2"/>
  </r>
  <r>
    <s v="Call_7781"/>
    <x v="4"/>
    <x v="11"/>
    <x v="3"/>
    <x v="139"/>
    <n v="35"/>
    <n v="4.5"/>
  </r>
  <r>
    <s v="Call_7782"/>
    <x v="9"/>
    <x v="50"/>
    <x v="0"/>
    <x v="139"/>
    <n v="100"/>
    <n v="4.4000000000000004"/>
  </r>
  <r>
    <s v="Call_7783"/>
    <x v="9"/>
    <x v="63"/>
    <x v="2"/>
    <x v="140"/>
    <n v="125"/>
    <n v="3.5"/>
  </r>
  <r>
    <s v="Call_7784"/>
    <x v="6"/>
    <x v="104"/>
    <x v="4"/>
    <x v="140"/>
    <n v="120"/>
    <n v="3"/>
  </r>
  <r>
    <s v="Call_7785"/>
    <x v="11"/>
    <x v="30"/>
    <x v="1"/>
    <x v="140"/>
    <n v="180"/>
    <n v="4.7"/>
  </r>
  <r>
    <s v="Call_7786"/>
    <x v="5"/>
    <x v="47"/>
    <x v="0"/>
    <x v="140"/>
    <n v="44"/>
    <n v="3"/>
  </r>
  <r>
    <s v="Call_7787"/>
    <x v="10"/>
    <x v="48"/>
    <x v="4"/>
    <x v="140"/>
    <n v="86"/>
    <n v="3.6"/>
  </r>
  <r>
    <s v="Call_7788"/>
    <x v="6"/>
    <x v="32"/>
    <x v="4"/>
    <x v="141"/>
    <n v="120"/>
    <n v="4.0999999999999996"/>
  </r>
  <r>
    <s v="Call_7789"/>
    <x v="3"/>
    <x v="30"/>
    <x v="1"/>
    <x v="141"/>
    <n v="100"/>
    <n v="3.7"/>
  </r>
  <r>
    <s v="Call_7790"/>
    <x v="3"/>
    <x v="145"/>
    <x v="1"/>
    <x v="142"/>
    <n v="108"/>
    <n v="4.5"/>
  </r>
  <r>
    <s v="Call_7791"/>
    <x v="14"/>
    <x v="121"/>
    <x v="1"/>
    <x v="142"/>
    <n v="46"/>
    <n v="4.5999999999999996"/>
  </r>
  <r>
    <s v="Call_7792"/>
    <x v="7"/>
    <x v="75"/>
    <x v="4"/>
    <x v="142"/>
    <n v="210"/>
    <n v="4.3"/>
  </r>
  <r>
    <s v="Call_7793"/>
    <x v="12"/>
    <x v="56"/>
    <x v="2"/>
    <x v="143"/>
    <n v="54"/>
    <n v="4.8"/>
  </r>
  <r>
    <s v="Call_7794"/>
    <x v="5"/>
    <x v="52"/>
    <x v="4"/>
    <x v="143"/>
    <n v="115"/>
    <n v="4.7"/>
  </r>
  <r>
    <s v="Call_7795"/>
    <x v="11"/>
    <x v="4"/>
    <x v="1"/>
    <x v="144"/>
    <n v="100"/>
    <n v="2.2000000000000002"/>
  </r>
  <r>
    <s v="Call_7796"/>
    <x v="2"/>
    <x v="29"/>
    <x v="4"/>
    <x v="144"/>
    <n v="38"/>
    <n v="4.4000000000000004"/>
  </r>
  <r>
    <s v="Call_7797"/>
    <x v="12"/>
    <x v="13"/>
    <x v="2"/>
    <x v="145"/>
    <n v="120"/>
    <n v="4.0999999999999996"/>
  </r>
  <r>
    <s v="Call_7798"/>
    <x v="9"/>
    <x v="13"/>
    <x v="2"/>
    <x v="145"/>
    <n v="120"/>
    <n v="4.0999999999999996"/>
  </r>
  <r>
    <s v="Call_7799"/>
    <x v="1"/>
    <x v="87"/>
    <x v="1"/>
    <x v="145"/>
    <n v="29"/>
    <n v="4.4000000000000004"/>
  </r>
  <r>
    <s v="Call_7800"/>
    <x v="10"/>
    <x v="111"/>
    <x v="1"/>
    <x v="146"/>
    <n v="25"/>
    <n v="3.7"/>
  </r>
  <r>
    <s v="Call_7801"/>
    <x v="13"/>
    <x v="1"/>
    <x v="4"/>
    <x v="147"/>
    <n v="116"/>
    <n v="3.8"/>
  </r>
  <r>
    <s v="Call_7802"/>
    <x v="1"/>
    <x v="58"/>
    <x v="2"/>
    <x v="148"/>
    <n v="132"/>
    <n v="4.3"/>
  </r>
  <r>
    <s v="Call_7803"/>
    <x v="10"/>
    <x v="44"/>
    <x v="4"/>
    <x v="149"/>
    <n v="90"/>
    <n v="3.5"/>
  </r>
  <r>
    <s v="Call_7804"/>
    <x v="7"/>
    <x v="118"/>
    <x v="0"/>
    <x v="149"/>
    <n v="87"/>
    <n v="4.0999999999999996"/>
  </r>
  <r>
    <s v="Call_7805"/>
    <x v="6"/>
    <x v="52"/>
    <x v="4"/>
    <x v="149"/>
    <n v="140"/>
    <n v="4.2"/>
  </r>
  <r>
    <s v="Call_7806"/>
    <x v="8"/>
    <x v="77"/>
    <x v="4"/>
    <x v="149"/>
    <n v="164"/>
    <n v="4.5"/>
  </r>
  <r>
    <s v="Call_7807"/>
    <x v="5"/>
    <x v="15"/>
    <x v="2"/>
    <x v="150"/>
    <n v="180"/>
    <n v="3.8"/>
  </r>
  <r>
    <s v="Call_7808"/>
    <x v="14"/>
    <x v="75"/>
    <x v="3"/>
    <x v="151"/>
    <n v="22"/>
    <n v="4.0999999999999996"/>
  </r>
  <r>
    <s v="Call_7809"/>
    <x v="4"/>
    <x v="52"/>
    <x v="0"/>
    <x v="151"/>
    <n v="82"/>
    <n v="4.4000000000000004"/>
  </r>
  <r>
    <s v="Call_7810"/>
    <x v="0"/>
    <x v="56"/>
    <x v="2"/>
    <x v="151"/>
    <n v="100"/>
    <n v="4.5999999999999996"/>
  </r>
  <r>
    <s v="Call_7811"/>
    <x v="8"/>
    <x v="51"/>
    <x v="4"/>
    <x v="152"/>
    <n v="52"/>
    <n v="3.4"/>
  </r>
  <r>
    <s v="Call_7812"/>
    <x v="8"/>
    <x v="110"/>
    <x v="0"/>
    <x v="153"/>
    <n v="84"/>
    <n v="4.5999999999999996"/>
  </r>
  <r>
    <s v="Call_7813"/>
    <x v="8"/>
    <x v="73"/>
    <x v="0"/>
    <x v="153"/>
    <n v="37"/>
    <n v="3.9"/>
  </r>
  <r>
    <s v="Call_7814"/>
    <x v="11"/>
    <x v="119"/>
    <x v="2"/>
    <x v="154"/>
    <n v="190"/>
    <n v="4"/>
  </r>
  <r>
    <s v="Call_7815"/>
    <x v="6"/>
    <x v="127"/>
    <x v="1"/>
    <x v="154"/>
    <n v="66"/>
    <n v="3.4"/>
  </r>
  <r>
    <s v="Call_7816"/>
    <x v="1"/>
    <x v="95"/>
    <x v="4"/>
    <x v="155"/>
    <n v="116"/>
    <n v="3.2"/>
  </r>
  <r>
    <s v="Call_7817"/>
    <x v="12"/>
    <x v="67"/>
    <x v="3"/>
    <x v="155"/>
    <n v="28"/>
    <n v="3.9"/>
  </r>
  <r>
    <s v="Call_7818"/>
    <x v="4"/>
    <x v="6"/>
    <x v="4"/>
    <x v="155"/>
    <n v="120"/>
    <n v="5"/>
  </r>
  <r>
    <s v="Call_7819"/>
    <x v="2"/>
    <x v="130"/>
    <x v="2"/>
    <x v="155"/>
    <n v="56"/>
    <n v="3.5"/>
  </r>
  <r>
    <s v="Call_7820"/>
    <x v="2"/>
    <x v="8"/>
    <x v="0"/>
    <x v="155"/>
    <n v="170"/>
    <n v="3.8"/>
  </r>
  <r>
    <s v="Call_7821"/>
    <x v="12"/>
    <x v="76"/>
    <x v="2"/>
    <x v="156"/>
    <n v="200"/>
    <n v="4.8"/>
  </r>
  <r>
    <s v="Call_7822"/>
    <x v="4"/>
    <x v="35"/>
    <x v="4"/>
    <x v="157"/>
    <n v="50"/>
    <n v="4.2"/>
  </r>
  <r>
    <s v="Call_7823"/>
    <x v="0"/>
    <x v="32"/>
    <x v="3"/>
    <x v="157"/>
    <n v="112"/>
    <n v="3.7"/>
  </r>
  <r>
    <s v="Call_7824"/>
    <x v="14"/>
    <x v="99"/>
    <x v="4"/>
    <x v="158"/>
    <n v="39"/>
    <n v="4.8"/>
  </r>
  <r>
    <s v="Call_7825"/>
    <x v="6"/>
    <x v="106"/>
    <x v="3"/>
    <x v="158"/>
    <n v="38"/>
    <n v="4.8"/>
  </r>
  <r>
    <s v="Call_7826"/>
    <x v="5"/>
    <x v="4"/>
    <x v="4"/>
    <x v="159"/>
    <n v="84"/>
    <n v="2.9"/>
  </r>
  <r>
    <s v="Call_7827"/>
    <x v="8"/>
    <x v="146"/>
    <x v="2"/>
    <x v="160"/>
    <n v="82"/>
    <n v="3.5"/>
  </r>
  <r>
    <s v="Call_7828"/>
    <x v="14"/>
    <x v="151"/>
    <x v="3"/>
    <x v="160"/>
    <n v="37"/>
    <n v="0.9"/>
  </r>
  <r>
    <s v="Call_7829"/>
    <x v="2"/>
    <x v="49"/>
    <x v="1"/>
    <x v="161"/>
    <n v="87"/>
    <n v="3.4"/>
  </r>
  <r>
    <s v="Call_7830"/>
    <x v="2"/>
    <x v="21"/>
    <x v="1"/>
    <x v="161"/>
    <n v="75"/>
    <n v="2.7"/>
  </r>
  <r>
    <s v="Call_7831"/>
    <x v="5"/>
    <x v="24"/>
    <x v="4"/>
    <x v="161"/>
    <n v="32"/>
    <n v="4.7"/>
  </r>
  <r>
    <s v="Call_7832"/>
    <x v="13"/>
    <x v="8"/>
    <x v="2"/>
    <x v="161"/>
    <n v="33"/>
    <n v="3"/>
  </r>
  <r>
    <s v="Call_7833"/>
    <x v="13"/>
    <x v="9"/>
    <x v="0"/>
    <x v="161"/>
    <n v="76"/>
    <n v="4.2"/>
  </r>
  <r>
    <s v="Call_7834"/>
    <x v="11"/>
    <x v="33"/>
    <x v="0"/>
    <x v="161"/>
    <n v="117"/>
    <n v="4.8"/>
  </r>
  <r>
    <s v="Call_7835"/>
    <x v="5"/>
    <x v="143"/>
    <x v="2"/>
    <x v="162"/>
    <n v="70"/>
    <n v="4.0999999999999996"/>
  </r>
  <r>
    <s v="Call_7836"/>
    <x v="5"/>
    <x v="33"/>
    <x v="1"/>
    <x v="162"/>
    <n v="37"/>
    <n v="2.7"/>
  </r>
  <r>
    <s v="Call_7837"/>
    <x v="2"/>
    <x v="74"/>
    <x v="0"/>
    <x v="162"/>
    <n v="46"/>
    <n v="2.9"/>
  </r>
  <r>
    <s v="Call_7838"/>
    <x v="7"/>
    <x v="38"/>
    <x v="4"/>
    <x v="162"/>
    <n v="136"/>
    <n v="5"/>
  </r>
  <r>
    <s v="Call_7839"/>
    <x v="2"/>
    <x v="114"/>
    <x v="0"/>
    <x v="163"/>
    <n v="44"/>
    <n v="4.5999999999999996"/>
  </r>
  <r>
    <s v="Call_7840"/>
    <x v="9"/>
    <x v="41"/>
    <x v="3"/>
    <x v="163"/>
    <n v="69"/>
    <n v="3"/>
  </r>
  <r>
    <s v="Call_7841"/>
    <x v="7"/>
    <x v="142"/>
    <x v="2"/>
    <x v="164"/>
    <n v="86"/>
    <n v="4.5999999999999996"/>
  </r>
  <r>
    <s v="Call_7842"/>
    <x v="5"/>
    <x v="114"/>
    <x v="4"/>
    <x v="164"/>
    <n v="68"/>
    <n v="4.5"/>
  </r>
  <r>
    <s v="Call_7843"/>
    <x v="8"/>
    <x v="122"/>
    <x v="2"/>
    <x v="165"/>
    <n v="21"/>
    <n v="3.7"/>
  </r>
  <r>
    <s v="Call_7844"/>
    <x v="2"/>
    <x v="116"/>
    <x v="1"/>
    <x v="165"/>
    <n v="190"/>
    <n v="2.4"/>
  </r>
  <r>
    <s v="Call_7845"/>
    <x v="5"/>
    <x v="121"/>
    <x v="0"/>
    <x v="165"/>
    <n v="176"/>
    <n v="4.3"/>
  </r>
  <r>
    <s v="Call_7846"/>
    <x v="11"/>
    <x v="7"/>
    <x v="4"/>
    <x v="165"/>
    <n v="172"/>
    <n v="3.9"/>
  </r>
  <r>
    <s v="Call_7847"/>
    <x v="4"/>
    <x v="128"/>
    <x v="2"/>
    <x v="165"/>
    <n v="84"/>
    <n v="4.5"/>
  </r>
  <r>
    <s v="Call_7848"/>
    <x v="1"/>
    <x v="35"/>
    <x v="3"/>
    <x v="166"/>
    <n v="42"/>
    <n v="5"/>
  </r>
  <r>
    <s v="Call_7849"/>
    <x v="7"/>
    <x v="47"/>
    <x v="1"/>
    <x v="166"/>
    <n v="70"/>
    <n v="1.6"/>
  </r>
  <r>
    <s v="Call_7850"/>
    <x v="9"/>
    <x v="10"/>
    <x v="3"/>
    <x v="166"/>
    <n v="60"/>
    <n v="4.3"/>
  </r>
  <r>
    <s v="Call_7851"/>
    <x v="6"/>
    <x v="58"/>
    <x v="1"/>
    <x v="166"/>
    <n v="84"/>
    <n v="3.5"/>
  </r>
  <r>
    <s v="Call_7852"/>
    <x v="8"/>
    <x v="24"/>
    <x v="0"/>
    <x v="167"/>
    <n v="68"/>
    <n v="3.1"/>
  </r>
  <r>
    <s v="Call_7853"/>
    <x v="13"/>
    <x v="16"/>
    <x v="0"/>
    <x v="167"/>
    <n v="44"/>
    <n v="2.9"/>
  </r>
  <r>
    <s v="Call_7854"/>
    <x v="6"/>
    <x v="9"/>
    <x v="3"/>
    <x v="168"/>
    <n v="99"/>
    <n v="3.2"/>
  </r>
  <r>
    <s v="Call_7855"/>
    <x v="7"/>
    <x v="73"/>
    <x v="3"/>
    <x v="169"/>
    <n v="66"/>
    <n v="3.2"/>
  </r>
  <r>
    <s v="Call_7856"/>
    <x v="3"/>
    <x v="6"/>
    <x v="3"/>
    <x v="169"/>
    <n v="102"/>
    <n v="4.5"/>
  </r>
  <r>
    <s v="Call_7857"/>
    <x v="8"/>
    <x v="31"/>
    <x v="0"/>
    <x v="170"/>
    <n v="129"/>
    <n v="3.9"/>
  </r>
  <r>
    <s v="Call_7858"/>
    <x v="12"/>
    <x v="117"/>
    <x v="3"/>
    <x v="170"/>
    <n v="80"/>
    <n v="4.2"/>
  </r>
  <r>
    <s v="Call_7859"/>
    <x v="3"/>
    <x v="39"/>
    <x v="3"/>
    <x v="170"/>
    <n v="54"/>
    <n v="1.8"/>
  </r>
  <r>
    <s v="Call_7860"/>
    <x v="13"/>
    <x v="112"/>
    <x v="0"/>
    <x v="170"/>
    <n v="116"/>
    <n v="4.2"/>
  </r>
  <r>
    <s v="Call_7861"/>
    <x v="13"/>
    <x v="88"/>
    <x v="2"/>
    <x v="170"/>
    <n v="102"/>
    <n v="3.1"/>
  </r>
  <r>
    <s v="Call_7862"/>
    <x v="10"/>
    <x v="3"/>
    <x v="1"/>
    <x v="170"/>
    <n v="140"/>
    <n v="4.3"/>
  </r>
  <r>
    <s v="Call_7863"/>
    <x v="7"/>
    <x v="50"/>
    <x v="1"/>
    <x v="171"/>
    <n v="104"/>
    <n v="4.4000000000000004"/>
  </r>
  <r>
    <s v="Call_7864"/>
    <x v="10"/>
    <x v="12"/>
    <x v="3"/>
    <x v="171"/>
    <n v="81"/>
    <n v="4.4000000000000004"/>
  </r>
  <r>
    <s v="Call_7865"/>
    <x v="6"/>
    <x v="66"/>
    <x v="4"/>
    <x v="172"/>
    <n v="140"/>
    <n v="2.4"/>
  </r>
  <r>
    <s v="Call_7866"/>
    <x v="1"/>
    <x v="82"/>
    <x v="0"/>
    <x v="173"/>
    <n v="120"/>
    <n v="3.5"/>
  </r>
  <r>
    <s v="Call_7867"/>
    <x v="6"/>
    <x v="2"/>
    <x v="3"/>
    <x v="173"/>
    <n v="41"/>
    <n v="3.1"/>
  </r>
  <r>
    <s v="Call_7868"/>
    <x v="4"/>
    <x v="3"/>
    <x v="3"/>
    <x v="173"/>
    <n v="116"/>
    <n v="2.2999999999999998"/>
  </r>
  <r>
    <s v="Call_7869"/>
    <x v="0"/>
    <x v="9"/>
    <x v="0"/>
    <x v="174"/>
    <n v="70"/>
    <n v="2.8"/>
  </r>
  <r>
    <s v="Call_7870"/>
    <x v="10"/>
    <x v="143"/>
    <x v="2"/>
    <x v="174"/>
    <n v="42"/>
    <n v="4.5"/>
  </r>
  <r>
    <s v="Call_7871"/>
    <x v="4"/>
    <x v="71"/>
    <x v="1"/>
    <x v="175"/>
    <n v="112"/>
    <n v="4.5"/>
  </r>
  <r>
    <s v="Call_7872"/>
    <x v="3"/>
    <x v="99"/>
    <x v="3"/>
    <x v="175"/>
    <n v="20"/>
    <n v="4.5"/>
  </r>
  <r>
    <s v="Call_7873"/>
    <x v="8"/>
    <x v="117"/>
    <x v="2"/>
    <x v="176"/>
    <n v="110"/>
    <n v="4.8"/>
  </r>
  <r>
    <s v="Call_7874"/>
    <x v="5"/>
    <x v="4"/>
    <x v="2"/>
    <x v="176"/>
    <n v="39"/>
    <n v="4.5999999999999996"/>
  </r>
  <r>
    <s v="Call_7875"/>
    <x v="8"/>
    <x v="113"/>
    <x v="0"/>
    <x v="176"/>
    <n v="76"/>
    <n v="4.5"/>
  </r>
  <r>
    <s v="Call_7876"/>
    <x v="1"/>
    <x v="54"/>
    <x v="0"/>
    <x v="176"/>
    <n v="40"/>
    <n v="5"/>
  </r>
  <r>
    <s v="Call_7877"/>
    <x v="8"/>
    <x v="143"/>
    <x v="3"/>
    <x v="176"/>
    <n v="42"/>
    <n v="4.8"/>
  </r>
  <r>
    <s v="Call_7878"/>
    <x v="2"/>
    <x v="106"/>
    <x v="4"/>
    <x v="177"/>
    <n v="215"/>
    <n v="3.5"/>
  </r>
  <r>
    <s v="Call_7879"/>
    <x v="9"/>
    <x v="11"/>
    <x v="4"/>
    <x v="178"/>
    <n v="130"/>
    <n v="3.4"/>
  </r>
  <r>
    <s v="Call_7880"/>
    <x v="11"/>
    <x v="143"/>
    <x v="4"/>
    <x v="178"/>
    <n v="190"/>
    <n v="3.3"/>
  </r>
  <r>
    <s v="Call_7881"/>
    <x v="4"/>
    <x v="85"/>
    <x v="2"/>
    <x v="178"/>
    <n v="164"/>
    <n v="4.9000000000000004"/>
  </r>
  <r>
    <s v="Call_7882"/>
    <x v="14"/>
    <x v="37"/>
    <x v="1"/>
    <x v="179"/>
    <n v="76"/>
    <n v="4.5"/>
  </r>
  <r>
    <s v="Call_7883"/>
    <x v="2"/>
    <x v="21"/>
    <x v="1"/>
    <x v="180"/>
    <n v="87"/>
    <n v="4.8"/>
  </r>
  <r>
    <s v="Call_7884"/>
    <x v="7"/>
    <x v="64"/>
    <x v="4"/>
    <x v="180"/>
    <n v="84"/>
    <n v="4.8"/>
  </r>
  <r>
    <s v="Call_7885"/>
    <x v="10"/>
    <x v="59"/>
    <x v="3"/>
    <x v="180"/>
    <n v="114"/>
    <n v="3.9"/>
  </r>
  <r>
    <s v="Call_7886"/>
    <x v="9"/>
    <x v="53"/>
    <x v="1"/>
    <x v="181"/>
    <n v="56"/>
    <n v="3.9"/>
  </r>
  <r>
    <s v="Call_7887"/>
    <x v="14"/>
    <x v="147"/>
    <x v="2"/>
    <x v="181"/>
    <n v="27"/>
    <n v="3.7"/>
  </r>
  <r>
    <s v="Call_7888"/>
    <x v="1"/>
    <x v="7"/>
    <x v="0"/>
    <x v="182"/>
    <n v="84"/>
    <n v="4.8"/>
  </r>
  <r>
    <s v="Call_7889"/>
    <x v="7"/>
    <x v="57"/>
    <x v="2"/>
    <x v="182"/>
    <n v="72"/>
    <n v="3.5"/>
  </r>
  <r>
    <s v="Call_7890"/>
    <x v="2"/>
    <x v="75"/>
    <x v="3"/>
    <x v="183"/>
    <n v="126"/>
    <n v="4.2"/>
  </r>
  <r>
    <s v="Call_7891"/>
    <x v="1"/>
    <x v="24"/>
    <x v="2"/>
    <x v="184"/>
    <n v="88"/>
    <n v="4.9000000000000004"/>
  </r>
  <r>
    <s v="Call_7892"/>
    <x v="0"/>
    <x v="39"/>
    <x v="2"/>
    <x v="184"/>
    <n v="124"/>
    <n v="4.5999999999999996"/>
  </r>
  <r>
    <s v="Call_7893"/>
    <x v="13"/>
    <x v="65"/>
    <x v="2"/>
    <x v="185"/>
    <n v="84"/>
    <n v="2.6"/>
  </r>
  <r>
    <s v="Call_7894"/>
    <x v="9"/>
    <x v="114"/>
    <x v="3"/>
    <x v="185"/>
    <n v="80"/>
    <n v="2.7"/>
  </r>
  <r>
    <s v="Call_7895"/>
    <x v="12"/>
    <x v="28"/>
    <x v="3"/>
    <x v="186"/>
    <n v="176"/>
    <n v="4.7"/>
  </r>
  <r>
    <s v="Call_7896"/>
    <x v="0"/>
    <x v="77"/>
    <x v="4"/>
    <x v="187"/>
    <n v="84"/>
    <n v="3.9"/>
  </r>
  <r>
    <s v="Call_7897"/>
    <x v="1"/>
    <x v="111"/>
    <x v="4"/>
    <x v="187"/>
    <n v="164"/>
    <n v="2.8"/>
  </r>
  <r>
    <s v="Call_7898"/>
    <x v="14"/>
    <x v="66"/>
    <x v="0"/>
    <x v="187"/>
    <n v="132"/>
    <n v="3.1"/>
  </r>
  <r>
    <s v="Call_7899"/>
    <x v="9"/>
    <x v="152"/>
    <x v="2"/>
    <x v="188"/>
    <n v="27"/>
    <n v="4.2"/>
  </r>
  <r>
    <s v="Call_7900"/>
    <x v="1"/>
    <x v="108"/>
    <x v="3"/>
    <x v="188"/>
    <n v="27"/>
    <n v="4.3"/>
  </r>
  <r>
    <s v="Call_7901"/>
    <x v="1"/>
    <x v="110"/>
    <x v="1"/>
    <x v="188"/>
    <n v="20"/>
    <n v="2.7"/>
  </r>
  <r>
    <s v="Call_7902"/>
    <x v="9"/>
    <x v="103"/>
    <x v="3"/>
    <x v="189"/>
    <n v="112"/>
    <n v="2.2999999999999998"/>
  </r>
  <r>
    <s v="Call_7903"/>
    <x v="3"/>
    <x v="73"/>
    <x v="2"/>
    <x v="189"/>
    <n v="60"/>
    <n v="2.2999999999999998"/>
  </r>
  <r>
    <s v="Call_7904"/>
    <x v="3"/>
    <x v="111"/>
    <x v="2"/>
    <x v="190"/>
    <n v="102"/>
    <n v="2.9"/>
  </r>
  <r>
    <s v="Call_7905"/>
    <x v="4"/>
    <x v="19"/>
    <x v="2"/>
    <x v="190"/>
    <n v="38"/>
    <n v="4.2"/>
  </r>
  <r>
    <s v="Call_7906"/>
    <x v="9"/>
    <x v="153"/>
    <x v="0"/>
    <x v="190"/>
    <n v="82"/>
    <n v="4.5999999999999996"/>
  </r>
  <r>
    <s v="Call_7907"/>
    <x v="3"/>
    <x v="69"/>
    <x v="1"/>
    <x v="191"/>
    <n v="125"/>
    <n v="4.5"/>
  </r>
  <r>
    <s v="Call_7908"/>
    <x v="11"/>
    <x v="154"/>
    <x v="4"/>
    <x v="192"/>
    <n v="72"/>
    <n v="3.7"/>
  </r>
  <r>
    <s v="Call_7909"/>
    <x v="1"/>
    <x v="87"/>
    <x v="4"/>
    <x v="192"/>
    <n v="195"/>
    <n v="4.0999999999999996"/>
  </r>
  <r>
    <s v="Call_7910"/>
    <x v="9"/>
    <x v="7"/>
    <x v="4"/>
    <x v="193"/>
    <n v="160"/>
    <n v="3.4"/>
  </r>
  <r>
    <s v="Call_7911"/>
    <x v="12"/>
    <x v="29"/>
    <x v="0"/>
    <x v="193"/>
    <n v="78"/>
    <n v="3.3"/>
  </r>
  <r>
    <s v="Call_7912"/>
    <x v="0"/>
    <x v="83"/>
    <x v="0"/>
    <x v="194"/>
    <n v="70"/>
    <n v="4.4000000000000004"/>
  </r>
  <r>
    <s v="Call_7913"/>
    <x v="2"/>
    <x v="32"/>
    <x v="3"/>
    <x v="194"/>
    <n v="105"/>
    <n v="4.2"/>
  </r>
  <r>
    <s v="Call_7914"/>
    <x v="0"/>
    <x v="99"/>
    <x v="3"/>
    <x v="195"/>
    <n v="78"/>
    <n v="3.4"/>
  </r>
  <r>
    <s v="Call_7915"/>
    <x v="13"/>
    <x v="67"/>
    <x v="3"/>
    <x v="196"/>
    <n v="205"/>
    <n v="4.4000000000000004"/>
  </r>
  <r>
    <s v="Call_7916"/>
    <x v="8"/>
    <x v="150"/>
    <x v="3"/>
    <x v="196"/>
    <n v="78"/>
    <n v="2.7"/>
  </r>
  <r>
    <s v="Call_7917"/>
    <x v="1"/>
    <x v="20"/>
    <x v="4"/>
    <x v="196"/>
    <n v="38"/>
    <n v="4.5"/>
  </r>
  <r>
    <s v="Call_7918"/>
    <x v="13"/>
    <x v="147"/>
    <x v="2"/>
    <x v="196"/>
    <n v="92"/>
    <n v="1.7"/>
  </r>
  <r>
    <s v="Call_7919"/>
    <x v="14"/>
    <x v="155"/>
    <x v="0"/>
    <x v="196"/>
    <n v="36"/>
    <n v="4.7"/>
  </r>
  <r>
    <s v="Call_7920"/>
    <x v="12"/>
    <x v="136"/>
    <x v="1"/>
    <x v="196"/>
    <n v="76"/>
    <n v="4.4000000000000004"/>
  </r>
  <r>
    <s v="Call_7921"/>
    <x v="5"/>
    <x v="51"/>
    <x v="0"/>
    <x v="197"/>
    <n v="170"/>
    <n v="3.5"/>
  </r>
  <r>
    <s v="Call_7922"/>
    <x v="13"/>
    <x v="6"/>
    <x v="4"/>
    <x v="198"/>
    <n v="117"/>
    <n v="4.7"/>
  </r>
  <r>
    <s v="Call_7923"/>
    <x v="10"/>
    <x v="53"/>
    <x v="1"/>
    <x v="198"/>
    <n v="20"/>
    <n v="4.3"/>
  </r>
  <r>
    <s v="Call_7924"/>
    <x v="12"/>
    <x v="75"/>
    <x v="4"/>
    <x v="198"/>
    <n v="99"/>
    <n v="4.0999999999999996"/>
  </r>
  <r>
    <s v="Call_7925"/>
    <x v="6"/>
    <x v="156"/>
    <x v="1"/>
    <x v="199"/>
    <n v="105"/>
    <n v="2.9"/>
  </r>
  <r>
    <s v="Call_7926"/>
    <x v="7"/>
    <x v="111"/>
    <x v="3"/>
    <x v="199"/>
    <n v="195"/>
    <n v="3.4"/>
  </r>
  <r>
    <s v="Call_7927"/>
    <x v="2"/>
    <x v="108"/>
    <x v="1"/>
    <x v="200"/>
    <n v="152"/>
    <n v="4.5999999999999996"/>
  </r>
  <r>
    <s v="Call_7928"/>
    <x v="7"/>
    <x v="35"/>
    <x v="3"/>
    <x v="201"/>
    <n v="195"/>
    <n v="4.9000000000000004"/>
  </r>
  <r>
    <s v="Call_7929"/>
    <x v="5"/>
    <x v="113"/>
    <x v="2"/>
    <x v="201"/>
    <n v="70"/>
    <n v="3.6"/>
  </r>
  <r>
    <s v="Call_7930"/>
    <x v="12"/>
    <x v="157"/>
    <x v="2"/>
    <x v="201"/>
    <n v="22"/>
    <n v="3.5"/>
  </r>
  <r>
    <s v="Call_7931"/>
    <x v="4"/>
    <x v="86"/>
    <x v="4"/>
    <x v="202"/>
    <n v="40"/>
    <n v="3.3"/>
  </r>
  <r>
    <s v="Call_7932"/>
    <x v="4"/>
    <x v="55"/>
    <x v="1"/>
    <x v="203"/>
    <n v="54"/>
    <n v="3.8"/>
  </r>
  <r>
    <s v="Call_7933"/>
    <x v="1"/>
    <x v="49"/>
    <x v="1"/>
    <x v="203"/>
    <n v="60"/>
    <n v="2.5"/>
  </r>
  <r>
    <s v="Call_7934"/>
    <x v="11"/>
    <x v="134"/>
    <x v="0"/>
    <x v="204"/>
    <n v="58"/>
    <n v="4.5999999999999996"/>
  </r>
  <r>
    <s v="Call_7935"/>
    <x v="6"/>
    <x v="29"/>
    <x v="4"/>
    <x v="204"/>
    <n v="220"/>
    <n v="4.7"/>
  </r>
  <r>
    <s v="Call_7936"/>
    <x v="0"/>
    <x v="47"/>
    <x v="4"/>
    <x v="204"/>
    <n v="27"/>
    <n v="3.6"/>
  </r>
  <r>
    <s v="Call_7937"/>
    <x v="7"/>
    <x v="33"/>
    <x v="4"/>
    <x v="205"/>
    <n v="26"/>
    <n v="4.3"/>
  </r>
  <r>
    <s v="Call_7938"/>
    <x v="10"/>
    <x v="104"/>
    <x v="3"/>
    <x v="206"/>
    <n v="160"/>
    <n v="4.7"/>
  </r>
  <r>
    <s v="Call_7939"/>
    <x v="12"/>
    <x v="6"/>
    <x v="1"/>
    <x v="206"/>
    <n v="200"/>
    <n v="4.9000000000000004"/>
  </r>
  <r>
    <s v="Call_7940"/>
    <x v="12"/>
    <x v="23"/>
    <x v="0"/>
    <x v="207"/>
    <n v="135"/>
    <n v="4.9000000000000004"/>
  </r>
  <r>
    <s v="Call_7941"/>
    <x v="0"/>
    <x v="3"/>
    <x v="1"/>
    <x v="208"/>
    <n v="22"/>
    <n v="1.9"/>
  </r>
  <r>
    <s v="Call_7942"/>
    <x v="6"/>
    <x v="34"/>
    <x v="3"/>
    <x v="209"/>
    <n v="164"/>
    <n v="4.5"/>
  </r>
  <r>
    <s v="Call_7943"/>
    <x v="4"/>
    <x v="22"/>
    <x v="0"/>
    <x v="209"/>
    <n v="21"/>
    <n v="4.9000000000000004"/>
  </r>
  <r>
    <s v="Call_7944"/>
    <x v="6"/>
    <x v="131"/>
    <x v="3"/>
    <x v="210"/>
    <n v="120"/>
    <n v="4.5"/>
  </r>
  <r>
    <s v="Call_7945"/>
    <x v="5"/>
    <x v="84"/>
    <x v="2"/>
    <x v="210"/>
    <n v="93"/>
    <n v="2.7"/>
  </r>
  <r>
    <s v="Call_7946"/>
    <x v="4"/>
    <x v="3"/>
    <x v="2"/>
    <x v="210"/>
    <n v="135"/>
    <n v="2.1"/>
  </r>
  <r>
    <s v="Call_7947"/>
    <x v="12"/>
    <x v="78"/>
    <x v="0"/>
    <x v="210"/>
    <n v="210"/>
    <n v="4.2"/>
  </r>
  <r>
    <s v="Call_7948"/>
    <x v="14"/>
    <x v="47"/>
    <x v="2"/>
    <x v="211"/>
    <n v="29"/>
    <n v="4.7"/>
  </r>
  <r>
    <s v="Call_7949"/>
    <x v="8"/>
    <x v="90"/>
    <x v="4"/>
    <x v="211"/>
    <n v="111"/>
    <n v="3.9"/>
  </r>
  <r>
    <s v="Call_7950"/>
    <x v="3"/>
    <x v="89"/>
    <x v="1"/>
    <x v="212"/>
    <n v="63"/>
    <n v="4.0999999999999996"/>
  </r>
  <r>
    <s v="Call_7951"/>
    <x v="13"/>
    <x v="0"/>
    <x v="3"/>
    <x v="212"/>
    <n v="44"/>
    <n v="3.8"/>
  </r>
  <r>
    <s v="Call_7952"/>
    <x v="3"/>
    <x v="75"/>
    <x v="3"/>
    <x v="213"/>
    <n v="120"/>
    <n v="1.8"/>
  </r>
  <r>
    <s v="Call_7953"/>
    <x v="4"/>
    <x v="138"/>
    <x v="3"/>
    <x v="213"/>
    <n v="120"/>
    <n v="4.0999999999999996"/>
  </r>
  <r>
    <s v="Call_7954"/>
    <x v="8"/>
    <x v="157"/>
    <x v="1"/>
    <x v="214"/>
    <n v="40"/>
    <n v="4.4000000000000004"/>
  </r>
  <r>
    <s v="Call_7955"/>
    <x v="5"/>
    <x v="148"/>
    <x v="2"/>
    <x v="214"/>
    <n v="160"/>
    <n v="4.0999999999999996"/>
  </r>
  <r>
    <s v="Call_7956"/>
    <x v="12"/>
    <x v="21"/>
    <x v="3"/>
    <x v="215"/>
    <n v="44"/>
    <n v="3.8"/>
  </r>
  <r>
    <s v="Call_7957"/>
    <x v="3"/>
    <x v="130"/>
    <x v="1"/>
    <x v="215"/>
    <n v="80"/>
    <n v="4.3"/>
  </r>
  <r>
    <s v="Call_7958"/>
    <x v="10"/>
    <x v="143"/>
    <x v="1"/>
    <x v="216"/>
    <n v="66"/>
    <n v="4.5"/>
  </r>
  <r>
    <s v="Call_7959"/>
    <x v="13"/>
    <x v="133"/>
    <x v="4"/>
    <x v="216"/>
    <n v="82"/>
    <n v="3.4"/>
  </r>
  <r>
    <s v="Call_7960"/>
    <x v="5"/>
    <x v="38"/>
    <x v="3"/>
    <x v="216"/>
    <n v="66"/>
    <n v="4.8"/>
  </r>
  <r>
    <s v="Call_7961"/>
    <x v="12"/>
    <x v="37"/>
    <x v="2"/>
    <x v="216"/>
    <n v="92"/>
    <n v="4.9000000000000004"/>
  </r>
  <r>
    <s v="Call_7962"/>
    <x v="11"/>
    <x v="24"/>
    <x v="4"/>
    <x v="217"/>
    <n v="104"/>
    <n v="4.7"/>
  </r>
  <r>
    <s v="Call_7963"/>
    <x v="4"/>
    <x v="4"/>
    <x v="3"/>
    <x v="217"/>
    <n v="105"/>
    <n v="3.3"/>
  </r>
  <r>
    <s v="Call_7964"/>
    <x v="13"/>
    <x v="21"/>
    <x v="3"/>
    <x v="217"/>
    <n v="100"/>
    <n v="2.8"/>
  </r>
  <r>
    <s v="Call_7965"/>
    <x v="5"/>
    <x v="146"/>
    <x v="4"/>
    <x v="217"/>
    <n v="90"/>
    <n v="4.0999999999999996"/>
  </r>
  <r>
    <s v="Call_7966"/>
    <x v="2"/>
    <x v="18"/>
    <x v="0"/>
    <x v="217"/>
    <n v="110"/>
    <n v="3.5"/>
  </r>
  <r>
    <s v="Call_7967"/>
    <x v="10"/>
    <x v="66"/>
    <x v="4"/>
    <x v="218"/>
    <n v="68"/>
    <n v="2.2999999999999998"/>
  </r>
  <r>
    <s v="Call_7968"/>
    <x v="4"/>
    <x v="95"/>
    <x v="1"/>
    <x v="219"/>
    <n v="210"/>
    <n v="4.0999999999999996"/>
  </r>
  <r>
    <s v="Call_7969"/>
    <x v="1"/>
    <x v="145"/>
    <x v="0"/>
    <x v="219"/>
    <n v="111"/>
    <n v="4.3"/>
  </r>
  <r>
    <s v="Call_7970"/>
    <x v="1"/>
    <x v="41"/>
    <x v="1"/>
    <x v="220"/>
    <n v="45"/>
    <n v="4.9000000000000004"/>
  </r>
  <r>
    <s v="Call_7971"/>
    <x v="7"/>
    <x v="55"/>
    <x v="0"/>
    <x v="221"/>
    <n v="132"/>
    <n v="4"/>
  </r>
  <r>
    <s v="Call_7972"/>
    <x v="0"/>
    <x v="70"/>
    <x v="4"/>
    <x v="221"/>
    <n v="20"/>
    <n v="4.7"/>
  </r>
  <r>
    <s v="Call_7973"/>
    <x v="6"/>
    <x v="74"/>
    <x v="3"/>
    <x v="221"/>
    <n v="36"/>
    <n v="3.4"/>
  </r>
  <r>
    <s v="Call_7974"/>
    <x v="13"/>
    <x v="5"/>
    <x v="1"/>
    <x v="222"/>
    <n v="72"/>
    <n v="4"/>
  </r>
  <r>
    <s v="Call_7975"/>
    <x v="9"/>
    <x v="75"/>
    <x v="1"/>
    <x v="222"/>
    <n v="63"/>
    <n v="4.5"/>
  </r>
  <r>
    <s v="Call_7976"/>
    <x v="9"/>
    <x v="6"/>
    <x v="0"/>
    <x v="223"/>
    <n v="44"/>
    <n v="4.5"/>
  </r>
  <r>
    <s v="Call_7977"/>
    <x v="0"/>
    <x v="84"/>
    <x v="2"/>
    <x v="223"/>
    <n v="132"/>
    <n v="4.9000000000000004"/>
  </r>
  <r>
    <s v="Call_7978"/>
    <x v="12"/>
    <x v="97"/>
    <x v="3"/>
    <x v="223"/>
    <n v="46"/>
    <n v="4.4000000000000004"/>
  </r>
  <r>
    <s v="Call_7979"/>
    <x v="12"/>
    <x v="74"/>
    <x v="3"/>
    <x v="223"/>
    <n v="96"/>
    <n v="2.9"/>
  </r>
  <r>
    <s v="Call_7980"/>
    <x v="8"/>
    <x v="37"/>
    <x v="0"/>
    <x v="224"/>
    <n v="75"/>
    <n v="4.4000000000000004"/>
  </r>
  <r>
    <s v="Call_7981"/>
    <x v="5"/>
    <x v="143"/>
    <x v="3"/>
    <x v="225"/>
    <n v="88"/>
    <n v="4.3"/>
  </r>
  <r>
    <s v="Call_7982"/>
    <x v="1"/>
    <x v="41"/>
    <x v="0"/>
    <x v="225"/>
    <n v="24"/>
    <n v="4.7"/>
  </r>
  <r>
    <s v="Call_7983"/>
    <x v="3"/>
    <x v="20"/>
    <x v="4"/>
    <x v="225"/>
    <n v="96"/>
    <n v="3.2"/>
  </r>
  <r>
    <s v="Call_7984"/>
    <x v="4"/>
    <x v="111"/>
    <x v="4"/>
    <x v="226"/>
    <n v="124"/>
    <n v="2.2999999999999998"/>
  </r>
  <r>
    <s v="Call_7985"/>
    <x v="3"/>
    <x v="93"/>
    <x v="2"/>
    <x v="227"/>
    <n v="130"/>
    <n v="3.6"/>
  </r>
  <r>
    <s v="Call_7986"/>
    <x v="12"/>
    <x v="156"/>
    <x v="1"/>
    <x v="227"/>
    <n v="45"/>
    <n v="4.5999999999999996"/>
  </r>
  <r>
    <s v="Call_7987"/>
    <x v="2"/>
    <x v="90"/>
    <x v="4"/>
    <x v="227"/>
    <n v="66"/>
    <n v="4"/>
  </r>
  <r>
    <s v="Call_7988"/>
    <x v="0"/>
    <x v="32"/>
    <x v="0"/>
    <x v="227"/>
    <n v="58"/>
    <n v="4.7"/>
  </r>
  <r>
    <s v="Call_7989"/>
    <x v="13"/>
    <x v="125"/>
    <x v="4"/>
    <x v="228"/>
    <n v="152"/>
    <n v="4.3"/>
  </r>
  <r>
    <s v="Call_7990"/>
    <x v="4"/>
    <x v="33"/>
    <x v="3"/>
    <x v="228"/>
    <n v="75"/>
    <n v="2.8"/>
  </r>
  <r>
    <s v="Call_7991"/>
    <x v="10"/>
    <x v="70"/>
    <x v="1"/>
    <x v="228"/>
    <n v="78"/>
    <n v="4"/>
  </r>
  <r>
    <s v="Call_7992"/>
    <x v="0"/>
    <x v="30"/>
    <x v="2"/>
    <x v="228"/>
    <n v="69"/>
    <n v="3.9"/>
  </r>
  <r>
    <s v="Call_7993"/>
    <x v="11"/>
    <x v="55"/>
    <x v="0"/>
    <x v="229"/>
    <n v="46"/>
    <n v="3.1"/>
  </r>
  <r>
    <s v="Call_7994"/>
    <x v="13"/>
    <x v="139"/>
    <x v="4"/>
    <x v="229"/>
    <n v="64"/>
    <n v="2.7"/>
  </r>
  <r>
    <s v="Call_7995"/>
    <x v="6"/>
    <x v="99"/>
    <x v="1"/>
    <x v="229"/>
    <n v="38"/>
    <n v="4.7"/>
  </r>
  <r>
    <s v="Call_7996"/>
    <x v="0"/>
    <x v="20"/>
    <x v="1"/>
    <x v="230"/>
    <n v="90"/>
    <n v="4.3"/>
  </r>
  <r>
    <s v="Call_7997"/>
    <x v="7"/>
    <x v="131"/>
    <x v="1"/>
    <x v="230"/>
    <n v="32"/>
    <n v="3.8"/>
  </r>
  <r>
    <s v="Call_7998"/>
    <x v="8"/>
    <x v="29"/>
    <x v="4"/>
    <x v="230"/>
    <n v="120"/>
    <n v="4.4000000000000004"/>
  </r>
  <r>
    <s v="Call_7999"/>
    <x v="6"/>
    <x v="126"/>
    <x v="1"/>
    <x v="230"/>
    <n v="31"/>
    <n v="3.9"/>
  </r>
  <r>
    <s v="Call_8000"/>
    <x v="2"/>
    <x v="77"/>
    <x v="4"/>
    <x v="231"/>
    <n v="108"/>
    <n v="4.9000000000000004"/>
  </r>
  <r>
    <s v="Call_8001"/>
    <x v="0"/>
    <x v="50"/>
    <x v="4"/>
    <x v="231"/>
    <n v="180"/>
    <n v="4.2"/>
  </r>
  <r>
    <s v="Call_8002"/>
    <x v="7"/>
    <x v="54"/>
    <x v="2"/>
    <x v="232"/>
    <n v="124"/>
    <n v="4"/>
  </r>
  <r>
    <s v="Call_8003"/>
    <x v="5"/>
    <x v="67"/>
    <x v="2"/>
    <x v="232"/>
    <n v="23"/>
    <n v="4.2"/>
  </r>
  <r>
    <s v="Call_8004"/>
    <x v="12"/>
    <x v="44"/>
    <x v="0"/>
    <x v="233"/>
    <n v="24"/>
    <n v="4.8"/>
  </r>
  <r>
    <s v="Call_8005"/>
    <x v="5"/>
    <x v="116"/>
    <x v="1"/>
    <x v="234"/>
    <n v="52"/>
    <n v="1.1000000000000001"/>
  </r>
  <r>
    <s v="Call_8006"/>
    <x v="2"/>
    <x v="62"/>
    <x v="0"/>
    <x v="235"/>
    <n v="168"/>
    <n v="4"/>
  </r>
  <r>
    <s v="Call_8007"/>
    <x v="13"/>
    <x v="42"/>
    <x v="4"/>
    <x v="236"/>
    <n v="125"/>
    <n v="4.8"/>
  </r>
  <r>
    <s v="Call_8008"/>
    <x v="0"/>
    <x v="51"/>
    <x v="0"/>
    <x v="237"/>
    <n v="50"/>
    <n v="4.2"/>
  </r>
  <r>
    <s v="Call_8009"/>
    <x v="9"/>
    <x v="30"/>
    <x v="1"/>
    <x v="238"/>
    <n v="220"/>
    <n v="4.5999999999999996"/>
  </r>
  <r>
    <s v="Call_8010"/>
    <x v="6"/>
    <x v="130"/>
    <x v="0"/>
    <x v="238"/>
    <n v="180"/>
    <n v="4"/>
  </r>
  <r>
    <s v="Call_8011"/>
    <x v="2"/>
    <x v="77"/>
    <x v="1"/>
    <x v="238"/>
    <n v="110"/>
    <n v="3.9"/>
  </r>
  <r>
    <s v="Call_8012"/>
    <x v="12"/>
    <x v="151"/>
    <x v="0"/>
    <x v="238"/>
    <n v="36"/>
    <n v="2.8"/>
  </r>
  <r>
    <s v="Call_8013"/>
    <x v="1"/>
    <x v="92"/>
    <x v="2"/>
    <x v="239"/>
    <n v="93"/>
    <n v="4.7"/>
  </r>
  <r>
    <s v="Call_8014"/>
    <x v="6"/>
    <x v="134"/>
    <x v="0"/>
    <x v="239"/>
    <n v="38"/>
    <n v="4.2"/>
  </r>
  <r>
    <s v="Call_8015"/>
    <x v="2"/>
    <x v="130"/>
    <x v="2"/>
    <x v="240"/>
    <n v="66"/>
    <n v="3.9"/>
  </r>
  <r>
    <s v="Call_8016"/>
    <x v="5"/>
    <x v="42"/>
    <x v="0"/>
    <x v="240"/>
    <n v="215"/>
    <n v="4.5999999999999996"/>
  </r>
  <r>
    <s v="Call_8017"/>
    <x v="5"/>
    <x v="64"/>
    <x v="2"/>
    <x v="240"/>
    <n v="92"/>
    <n v="4.3"/>
  </r>
  <r>
    <s v="Call_8018"/>
    <x v="4"/>
    <x v="74"/>
    <x v="0"/>
    <x v="240"/>
    <n v="80"/>
    <n v="3.6"/>
  </r>
  <r>
    <s v="Call_8019"/>
    <x v="4"/>
    <x v="22"/>
    <x v="0"/>
    <x v="241"/>
    <n v="123"/>
    <n v="4.9000000000000004"/>
  </r>
  <r>
    <s v="Call_8020"/>
    <x v="12"/>
    <x v="48"/>
    <x v="3"/>
    <x v="241"/>
    <n v="23"/>
    <n v="2.4"/>
  </r>
  <r>
    <s v="Call_8021"/>
    <x v="11"/>
    <x v="127"/>
    <x v="1"/>
    <x v="241"/>
    <n v="63"/>
    <n v="4.2"/>
  </r>
  <r>
    <s v="Call_8022"/>
    <x v="14"/>
    <x v="66"/>
    <x v="4"/>
    <x v="241"/>
    <n v="52"/>
    <n v="3.9"/>
  </r>
  <r>
    <s v="Call_8023"/>
    <x v="5"/>
    <x v="99"/>
    <x v="4"/>
    <x v="241"/>
    <n v="60"/>
    <n v="4.2"/>
  </r>
  <r>
    <s v="Call_8024"/>
    <x v="4"/>
    <x v="19"/>
    <x v="2"/>
    <x v="242"/>
    <n v="87"/>
    <n v="3.9"/>
  </r>
  <r>
    <s v="Call_8025"/>
    <x v="8"/>
    <x v="74"/>
    <x v="0"/>
    <x v="243"/>
    <n v="42"/>
    <n v="4.5"/>
  </r>
  <r>
    <s v="Call_8026"/>
    <x v="10"/>
    <x v="112"/>
    <x v="1"/>
    <x v="244"/>
    <n v="37"/>
    <n v="3.8"/>
  </r>
  <r>
    <s v="Call_8027"/>
    <x v="10"/>
    <x v="51"/>
    <x v="3"/>
    <x v="244"/>
    <n v="135"/>
    <n v="3.9"/>
  </r>
  <r>
    <s v="Call_8028"/>
    <x v="8"/>
    <x v="72"/>
    <x v="3"/>
    <x v="244"/>
    <n v="88"/>
    <n v="4.7"/>
  </r>
  <r>
    <s v="Call_8029"/>
    <x v="13"/>
    <x v="130"/>
    <x v="1"/>
    <x v="244"/>
    <n v="190"/>
    <n v="3.2"/>
  </r>
  <r>
    <s v="Call_8030"/>
    <x v="13"/>
    <x v="139"/>
    <x v="3"/>
    <x v="244"/>
    <n v="81"/>
    <n v="5"/>
  </r>
  <r>
    <s v="Call_8031"/>
    <x v="10"/>
    <x v="116"/>
    <x v="1"/>
    <x v="244"/>
    <n v="44"/>
    <n v="3.7"/>
  </r>
  <r>
    <s v="Call_8032"/>
    <x v="2"/>
    <x v="10"/>
    <x v="3"/>
    <x v="245"/>
    <n v="92"/>
    <n v="3.9"/>
  </r>
  <r>
    <s v="Call_8033"/>
    <x v="10"/>
    <x v="50"/>
    <x v="0"/>
    <x v="246"/>
    <n v="90"/>
    <n v="3.1"/>
  </r>
  <r>
    <s v="Call_8034"/>
    <x v="11"/>
    <x v="90"/>
    <x v="3"/>
    <x v="246"/>
    <n v="112"/>
    <n v="2"/>
  </r>
  <r>
    <s v="Call_8035"/>
    <x v="9"/>
    <x v="76"/>
    <x v="1"/>
    <x v="246"/>
    <n v="112"/>
    <n v="4.5999999999999996"/>
  </r>
  <r>
    <s v="Call_8036"/>
    <x v="14"/>
    <x v="55"/>
    <x v="2"/>
    <x v="246"/>
    <n v="48"/>
    <n v="3.7"/>
  </r>
  <r>
    <s v="Call_8037"/>
    <x v="11"/>
    <x v="118"/>
    <x v="1"/>
    <x v="246"/>
    <n v="116"/>
    <n v="4.4000000000000004"/>
  </r>
  <r>
    <s v="Call_8038"/>
    <x v="1"/>
    <x v="95"/>
    <x v="1"/>
    <x v="246"/>
    <n v="29"/>
    <n v="2.1"/>
  </r>
  <r>
    <s v="Call_8039"/>
    <x v="9"/>
    <x v="107"/>
    <x v="3"/>
    <x v="247"/>
    <n v="170"/>
    <n v="2.2000000000000002"/>
  </r>
  <r>
    <s v="Call_8040"/>
    <x v="1"/>
    <x v="134"/>
    <x v="4"/>
    <x v="247"/>
    <n v="68"/>
    <n v="3.4"/>
  </r>
  <r>
    <s v="Call_8041"/>
    <x v="4"/>
    <x v="74"/>
    <x v="0"/>
    <x v="247"/>
    <n v="195"/>
    <n v="2.7"/>
  </r>
  <r>
    <s v="Call_8042"/>
    <x v="3"/>
    <x v="19"/>
    <x v="0"/>
    <x v="247"/>
    <n v="96"/>
    <n v="3.7"/>
  </r>
  <r>
    <s v="Call_8043"/>
    <x v="11"/>
    <x v="1"/>
    <x v="0"/>
    <x v="247"/>
    <n v="96"/>
    <n v="3.1"/>
  </r>
  <r>
    <s v="Call_8044"/>
    <x v="14"/>
    <x v="84"/>
    <x v="2"/>
    <x v="247"/>
    <n v="117"/>
    <n v="4.0999999999999996"/>
  </r>
  <r>
    <s v="Call_8045"/>
    <x v="4"/>
    <x v="26"/>
    <x v="3"/>
    <x v="247"/>
    <n v="80"/>
    <n v="4.8"/>
  </r>
  <r>
    <s v="Call_8046"/>
    <x v="8"/>
    <x v="104"/>
    <x v="4"/>
    <x v="247"/>
    <n v="117"/>
    <n v="4"/>
  </r>
  <r>
    <s v="Call_8047"/>
    <x v="10"/>
    <x v="97"/>
    <x v="0"/>
    <x v="248"/>
    <n v="40"/>
    <n v="3"/>
  </r>
  <r>
    <s v="Call_8048"/>
    <x v="13"/>
    <x v="158"/>
    <x v="4"/>
    <x v="248"/>
    <n v="117"/>
    <n v="4.8"/>
  </r>
  <r>
    <s v="Call_8049"/>
    <x v="7"/>
    <x v="67"/>
    <x v="3"/>
    <x v="248"/>
    <n v="135"/>
    <n v="4.0999999999999996"/>
  </r>
  <r>
    <s v="Call_8050"/>
    <x v="11"/>
    <x v="25"/>
    <x v="1"/>
    <x v="248"/>
    <n v="99"/>
    <n v="4.2"/>
  </r>
  <r>
    <s v="Call_8051"/>
    <x v="6"/>
    <x v="40"/>
    <x v="2"/>
    <x v="248"/>
    <n v="130"/>
    <n v="3.3"/>
  </r>
  <r>
    <s v="Call_8052"/>
    <x v="5"/>
    <x v="108"/>
    <x v="4"/>
    <x v="248"/>
    <n v="96"/>
    <n v="4.7"/>
  </r>
  <r>
    <s v="Call_8053"/>
    <x v="4"/>
    <x v="24"/>
    <x v="2"/>
    <x v="248"/>
    <n v="128"/>
    <n v="3.7"/>
  </r>
  <r>
    <s v="Call_8054"/>
    <x v="14"/>
    <x v="37"/>
    <x v="0"/>
    <x v="248"/>
    <n v="69"/>
    <n v="4.7"/>
  </r>
  <r>
    <s v="Call_8055"/>
    <x v="14"/>
    <x v="66"/>
    <x v="0"/>
    <x v="248"/>
    <n v="44"/>
    <n v="4.5999999999999996"/>
  </r>
  <r>
    <s v="Call_8056"/>
    <x v="5"/>
    <x v="112"/>
    <x v="0"/>
    <x v="248"/>
    <n v="44"/>
    <n v="4.8"/>
  </r>
  <r>
    <s v="Call_8057"/>
    <x v="9"/>
    <x v="59"/>
    <x v="4"/>
    <x v="249"/>
    <n v="135"/>
    <n v="2"/>
  </r>
  <r>
    <s v="Call_8058"/>
    <x v="3"/>
    <x v="107"/>
    <x v="2"/>
    <x v="249"/>
    <n v="45"/>
    <n v="3.9"/>
  </r>
  <r>
    <s v="Call_8059"/>
    <x v="13"/>
    <x v="62"/>
    <x v="2"/>
    <x v="249"/>
    <n v="87"/>
    <n v="3"/>
  </r>
  <r>
    <s v="Call_8060"/>
    <x v="8"/>
    <x v="67"/>
    <x v="3"/>
    <x v="250"/>
    <n v="84"/>
    <n v="4.5999999999999996"/>
  </r>
  <r>
    <s v="Call_8061"/>
    <x v="9"/>
    <x v="34"/>
    <x v="0"/>
    <x v="250"/>
    <n v="81"/>
    <n v="3.8"/>
  </r>
  <r>
    <s v="Call_8062"/>
    <x v="5"/>
    <x v="25"/>
    <x v="1"/>
    <x v="250"/>
    <n v="130"/>
    <n v="4.4000000000000004"/>
  </r>
  <r>
    <s v="Call_8063"/>
    <x v="4"/>
    <x v="96"/>
    <x v="0"/>
    <x v="251"/>
    <n v="92"/>
    <n v="2.4"/>
  </r>
  <r>
    <s v="Call_8064"/>
    <x v="12"/>
    <x v="82"/>
    <x v="3"/>
    <x v="251"/>
    <n v="48"/>
    <n v="4.5"/>
  </r>
  <r>
    <s v="Call_8065"/>
    <x v="3"/>
    <x v="6"/>
    <x v="4"/>
    <x v="251"/>
    <n v="160"/>
    <n v="4.5"/>
  </r>
  <r>
    <s v="Call_8066"/>
    <x v="7"/>
    <x v="87"/>
    <x v="3"/>
    <x v="252"/>
    <n v="155"/>
    <n v="2.7"/>
  </r>
  <r>
    <s v="Call_8067"/>
    <x v="6"/>
    <x v="117"/>
    <x v="1"/>
    <x v="252"/>
    <n v="100"/>
    <n v="4.9000000000000004"/>
  </r>
  <r>
    <s v="Call_8068"/>
    <x v="9"/>
    <x v="46"/>
    <x v="2"/>
    <x v="252"/>
    <n v="56"/>
    <n v="3.7"/>
  </r>
  <r>
    <s v="Call_8069"/>
    <x v="4"/>
    <x v="159"/>
    <x v="0"/>
    <x v="252"/>
    <n v="170"/>
    <n v="3.9"/>
  </r>
  <r>
    <s v="Call_8070"/>
    <x v="13"/>
    <x v="67"/>
    <x v="4"/>
    <x v="253"/>
    <n v="74"/>
    <n v="3.5"/>
  </r>
  <r>
    <s v="Call_8071"/>
    <x v="10"/>
    <x v="53"/>
    <x v="0"/>
    <x v="253"/>
    <n v="99"/>
    <n v="2.7"/>
  </r>
  <r>
    <s v="Call_8072"/>
    <x v="5"/>
    <x v="31"/>
    <x v="3"/>
    <x v="253"/>
    <n v="84"/>
    <n v="3.9"/>
  </r>
  <r>
    <s v="Call_8073"/>
    <x v="10"/>
    <x v="104"/>
    <x v="0"/>
    <x v="253"/>
    <n v="35"/>
    <n v="3.4"/>
  </r>
  <r>
    <s v="Call_8074"/>
    <x v="1"/>
    <x v="83"/>
    <x v="2"/>
    <x v="253"/>
    <n v="150"/>
    <n v="5"/>
  </r>
  <r>
    <s v="Call_8075"/>
    <x v="2"/>
    <x v="17"/>
    <x v="4"/>
    <x v="254"/>
    <n v="176"/>
    <n v="4.4000000000000004"/>
  </r>
  <r>
    <s v="Call_8076"/>
    <x v="2"/>
    <x v="31"/>
    <x v="4"/>
    <x v="254"/>
    <n v="84"/>
    <n v="4.3"/>
  </r>
  <r>
    <s v="Call_8077"/>
    <x v="5"/>
    <x v="131"/>
    <x v="4"/>
    <x v="254"/>
    <n v="136"/>
    <n v="4.7"/>
  </r>
  <r>
    <s v="Call_8078"/>
    <x v="4"/>
    <x v="124"/>
    <x v="4"/>
    <x v="255"/>
    <n v="70"/>
    <n v="4.0999999999999996"/>
  </r>
  <r>
    <s v="Call_8079"/>
    <x v="8"/>
    <x v="157"/>
    <x v="2"/>
    <x v="255"/>
    <n v="96"/>
    <n v="4.8"/>
  </r>
  <r>
    <s v="Call_8080"/>
    <x v="2"/>
    <x v="69"/>
    <x v="2"/>
    <x v="255"/>
    <n v="23"/>
    <n v="4.2"/>
  </r>
  <r>
    <s v="Call_8081"/>
    <x v="7"/>
    <x v="30"/>
    <x v="4"/>
    <x v="256"/>
    <n v="120"/>
    <n v="3.4"/>
  </r>
  <r>
    <s v="Call_8082"/>
    <x v="12"/>
    <x v="108"/>
    <x v="4"/>
    <x v="256"/>
    <n v="205"/>
    <n v="3.3"/>
  </r>
  <r>
    <s v="Call_8083"/>
    <x v="9"/>
    <x v="103"/>
    <x v="1"/>
    <x v="257"/>
    <n v="42"/>
    <n v="3.8"/>
  </r>
  <r>
    <s v="Call_8084"/>
    <x v="4"/>
    <x v="1"/>
    <x v="3"/>
    <x v="257"/>
    <n v="111"/>
    <n v="3.9"/>
  </r>
  <r>
    <s v="Call_8085"/>
    <x v="3"/>
    <x v="130"/>
    <x v="4"/>
    <x v="257"/>
    <n v="68"/>
    <n v="2.5"/>
  </r>
  <r>
    <s v="Call_8086"/>
    <x v="13"/>
    <x v="47"/>
    <x v="0"/>
    <x v="257"/>
    <n v="172"/>
    <n v="4.9000000000000004"/>
  </r>
  <r>
    <s v="Call_8087"/>
    <x v="11"/>
    <x v="44"/>
    <x v="4"/>
    <x v="257"/>
    <n v="152"/>
    <n v="4.8"/>
  </r>
  <r>
    <s v="Call_8088"/>
    <x v="11"/>
    <x v="31"/>
    <x v="1"/>
    <x v="257"/>
    <n v="48"/>
    <n v="4.7"/>
  </r>
  <r>
    <s v="Call_8089"/>
    <x v="6"/>
    <x v="71"/>
    <x v="1"/>
    <x v="257"/>
    <n v="25"/>
    <n v="4.7"/>
  </r>
  <r>
    <s v="Call_8090"/>
    <x v="3"/>
    <x v="5"/>
    <x v="3"/>
    <x v="258"/>
    <n v="54"/>
    <n v="3.3"/>
  </r>
  <r>
    <s v="Call_8091"/>
    <x v="3"/>
    <x v="124"/>
    <x v="2"/>
    <x v="258"/>
    <n v="108"/>
    <n v="4.7"/>
  </r>
  <r>
    <s v="Call_8092"/>
    <x v="14"/>
    <x v="53"/>
    <x v="4"/>
    <x v="258"/>
    <n v="36"/>
    <n v="4.5"/>
  </r>
  <r>
    <s v="Call_8093"/>
    <x v="0"/>
    <x v="134"/>
    <x v="1"/>
    <x v="259"/>
    <n v="140"/>
    <n v="4.5999999999999996"/>
  </r>
  <r>
    <s v="Call_8094"/>
    <x v="2"/>
    <x v="116"/>
    <x v="3"/>
    <x v="259"/>
    <n v="50"/>
    <n v="4.8"/>
  </r>
  <r>
    <s v="Call_8095"/>
    <x v="14"/>
    <x v="134"/>
    <x v="0"/>
    <x v="259"/>
    <n v="195"/>
    <n v="4.3"/>
  </r>
  <r>
    <s v="Call_8096"/>
    <x v="2"/>
    <x v="12"/>
    <x v="1"/>
    <x v="260"/>
    <n v="48"/>
    <n v="4.7"/>
  </r>
  <r>
    <s v="Call_8097"/>
    <x v="6"/>
    <x v="55"/>
    <x v="4"/>
    <x v="261"/>
    <n v="29"/>
    <n v="4.8"/>
  </r>
  <r>
    <s v="Call_8098"/>
    <x v="0"/>
    <x v="130"/>
    <x v="0"/>
    <x v="261"/>
    <n v="44"/>
    <n v="4.7"/>
  </r>
  <r>
    <s v="Call_8099"/>
    <x v="1"/>
    <x v="35"/>
    <x v="2"/>
    <x v="261"/>
    <n v="140"/>
    <n v="4.3"/>
  </r>
  <r>
    <s v="Call_8100"/>
    <x v="13"/>
    <x v="19"/>
    <x v="2"/>
    <x v="261"/>
    <n v="105"/>
    <n v="3.8"/>
  </r>
  <r>
    <s v="Call_8101"/>
    <x v="5"/>
    <x v="118"/>
    <x v="2"/>
    <x v="261"/>
    <n v="82"/>
    <n v="4.5999999999999996"/>
  </r>
  <r>
    <s v="Call_8102"/>
    <x v="0"/>
    <x v="123"/>
    <x v="0"/>
    <x v="261"/>
    <n v="24"/>
    <n v="2.9"/>
  </r>
  <r>
    <s v="Call_8103"/>
    <x v="4"/>
    <x v="37"/>
    <x v="4"/>
    <x v="262"/>
    <n v="205"/>
    <n v="4.8"/>
  </r>
  <r>
    <s v="Call_8104"/>
    <x v="1"/>
    <x v="108"/>
    <x v="1"/>
    <x v="262"/>
    <n v="225"/>
    <n v="4.9000000000000004"/>
  </r>
  <r>
    <s v="Call_8105"/>
    <x v="4"/>
    <x v="95"/>
    <x v="4"/>
    <x v="262"/>
    <n v="50"/>
    <n v="3.4"/>
  </r>
  <r>
    <s v="Call_8106"/>
    <x v="4"/>
    <x v="71"/>
    <x v="2"/>
    <x v="262"/>
    <n v="80"/>
    <n v="4.3"/>
  </r>
  <r>
    <s v="Call_8107"/>
    <x v="5"/>
    <x v="120"/>
    <x v="1"/>
    <x v="262"/>
    <n v="78"/>
    <n v="3.9"/>
  </r>
  <r>
    <s v="Call_8108"/>
    <x v="3"/>
    <x v="122"/>
    <x v="4"/>
    <x v="263"/>
    <n v="40"/>
    <n v="3.9"/>
  </r>
  <r>
    <s v="Call_8109"/>
    <x v="5"/>
    <x v="120"/>
    <x v="1"/>
    <x v="263"/>
    <n v="176"/>
    <n v="1.5"/>
  </r>
  <r>
    <s v="Call_8110"/>
    <x v="11"/>
    <x v="6"/>
    <x v="4"/>
    <x v="263"/>
    <n v="78"/>
    <n v="3"/>
  </r>
  <r>
    <s v="Call_8111"/>
    <x v="14"/>
    <x v="81"/>
    <x v="1"/>
    <x v="263"/>
    <n v="42"/>
    <n v="4.2"/>
  </r>
  <r>
    <s v="Call_8112"/>
    <x v="3"/>
    <x v="78"/>
    <x v="4"/>
    <x v="263"/>
    <n v="38"/>
    <n v="3.7"/>
  </r>
  <r>
    <s v="Call_8113"/>
    <x v="2"/>
    <x v="69"/>
    <x v="3"/>
    <x v="263"/>
    <n v="27"/>
    <n v="4.2"/>
  </r>
  <r>
    <s v="Call_8114"/>
    <x v="5"/>
    <x v="65"/>
    <x v="0"/>
    <x v="264"/>
    <n v="45"/>
    <n v="4.4000000000000004"/>
  </r>
  <r>
    <s v="Call_8115"/>
    <x v="7"/>
    <x v="74"/>
    <x v="4"/>
    <x v="264"/>
    <n v="215"/>
    <n v="4"/>
  </r>
  <r>
    <s v="Call_8116"/>
    <x v="6"/>
    <x v="23"/>
    <x v="4"/>
    <x v="265"/>
    <n v="72"/>
    <n v="4.7"/>
  </r>
  <r>
    <s v="Call_8117"/>
    <x v="3"/>
    <x v="160"/>
    <x v="2"/>
    <x v="265"/>
    <n v="160"/>
    <n v="2.8"/>
  </r>
  <r>
    <s v="Call_8118"/>
    <x v="6"/>
    <x v="76"/>
    <x v="4"/>
    <x v="265"/>
    <n v="165"/>
    <n v="2.5"/>
  </r>
  <r>
    <s v="Call_8119"/>
    <x v="1"/>
    <x v="146"/>
    <x v="2"/>
    <x v="265"/>
    <n v="120"/>
    <n v="3.4"/>
  </r>
  <r>
    <s v="Call_8120"/>
    <x v="0"/>
    <x v="122"/>
    <x v="1"/>
    <x v="265"/>
    <n v="117"/>
    <n v="4.8"/>
  </r>
  <r>
    <s v="Call_8121"/>
    <x v="8"/>
    <x v="94"/>
    <x v="3"/>
    <x v="266"/>
    <n v="29"/>
    <n v="4.3"/>
  </r>
  <r>
    <s v="Call_8122"/>
    <x v="0"/>
    <x v="54"/>
    <x v="2"/>
    <x v="266"/>
    <n v="64"/>
    <n v="4.5"/>
  </r>
  <r>
    <s v="Call_8123"/>
    <x v="11"/>
    <x v="62"/>
    <x v="1"/>
    <x v="266"/>
    <n v="84"/>
    <n v="3.6"/>
  </r>
  <r>
    <s v="Call_8124"/>
    <x v="7"/>
    <x v="55"/>
    <x v="4"/>
    <x v="266"/>
    <n v="42"/>
    <n v="3.7"/>
  </r>
  <r>
    <s v="Call_8125"/>
    <x v="3"/>
    <x v="30"/>
    <x v="4"/>
    <x v="266"/>
    <n v="120"/>
    <n v="3.5"/>
  </r>
  <r>
    <s v="Call_8126"/>
    <x v="11"/>
    <x v="116"/>
    <x v="3"/>
    <x v="267"/>
    <n v="80"/>
    <n v="4.7"/>
  </r>
  <r>
    <s v="Call_8127"/>
    <x v="8"/>
    <x v="28"/>
    <x v="2"/>
    <x v="267"/>
    <n v="185"/>
    <n v="3.5"/>
  </r>
  <r>
    <s v="Call_8128"/>
    <x v="4"/>
    <x v="73"/>
    <x v="0"/>
    <x v="268"/>
    <n v="135"/>
    <n v="3.9"/>
  </r>
  <r>
    <s v="Call_8129"/>
    <x v="4"/>
    <x v="113"/>
    <x v="2"/>
    <x v="268"/>
    <n v="20"/>
    <n v="4.8"/>
  </r>
  <r>
    <s v="Call_8130"/>
    <x v="12"/>
    <x v="101"/>
    <x v="2"/>
    <x v="268"/>
    <n v="31"/>
    <n v="4"/>
  </r>
  <r>
    <s v="Call_8131"/>
    <x v="14"/>
    <x v="17"/>
    <x v="3"/>
    <x v="269"/>
    <n v="120"/>
    <n v="4.7"/>
  </r>
  <r>
    <s v="Call_8132"/>
    <x v="1"/>
    <x v="22"/>
    <x v="1"/>
    <x v="269"/>
    <n v="117"/>
    <n v="3.6"/>
  </r>
  <r>
    <s v="Call_8133"/>
    <x v="14"/>
    <x v="77"/>
    <x v="4"/>
    <x v="269"/>
    <n v="80"/>
    <n v="4.5"/>
  </r>
  <r>
    <s v="Call_8134"/>
    <x v="14"/>
    <x v="39"/>
    <x v="0"/>
    <x v="270"/>
    <n v="117"/>
    <n v="4"/>
  </r>
  <r>
    <s v="Call_8135"/>
    <x v="8"/>
    <x v="74"/>
    <x v="3"/>
    <x v="270"/>
    <n v="60"/>
    <n v="4.5"/>
  </r>
  <r>
    <s v="Call_8136"/>
    <x v="4"/>
    <x v="79"/>
    <x v="4"/>
    <x v="271"/>
    <n v="58"/>
    <n v="3.9"/>
  </r>
  <r>
    <s v="Call_8137"/>
    <x v="12"/>
    <x v="113"/>
    <x v="0"/>
    <x v="271"/>
    <n v="41"/>
    <n v="4.3"/>
  </r>
  <r>
    <s v="Call_8138"/>
    <x v="3"/>
    <x v="21"/>
    <x v="1"/>
    <x v="271"/>
    <n v="180"/>
    <n v="3.6"/>
  </r>
  <r>
    <s v="Call_8139"/>
    <x v="13"/>
    <x v="69"/>
    <x v="1"/>
    <x v="271"/>
    <n v="42"/>
    <n v="3.6"/>
  </r>
  <r>
    <s v="Call_8140"/>
    <x v="13"/>
    <x v="2"/>
    <x v="1"/>
    <x v="272"/>
    <n v="24"/>
    <n v="4"/>
  </r>
  <r>
    <s v="Call_8141"/>
    <x v="12"/>
    <x v="58"/>
    <x v="1"/>
    <x v="272"/>
    <n v="125"/>
    <n v="4.2"/>
  </r>
  <r>
    <s v="Call_8142"/>
    <x v="12"/>
    <x v="99"/>
    <x v="0"/>
    <x v="273"/>
    <n v="78"/>
    <n v="4.3"/>
  </r>
  <r>
    <s v="Call_8143"/>
    <x v="9"/>
    <x v="66"/>
    <x v="2"/>
    <x v="273"/>
    <n v="180"/>
    <n v="3.8"/>
  </r>
  <r>
    <s v="Call_8144"/>
    <x v="7"/>
    <x v="161"/>
    <x v="0"/>
    <x v="273"/>
    <n v="84"/>
    <n v="4.4000000000000004"/>
  </r>
  <r>
    <s v="Call_8145"/>
    <x v="4"/>
    <x v="98"/>
    <x v="0"/>
    <x v="273"/>
    <n v="26"/>
    <n v="4.7"/>
  </r>
  <r>
    <s v="Call_8146"/>
    <x v="1"/>
    <x v="30"/>
    <x v="0"/>
    <x v="274"/>
    <n v="140"/>
    <n v="3.6"/>
  </r>
  <r>
    <s v="Call_8147"/>
    <x v="3"/>
    <x v="156"/>
    <x v="2"/>
    <x v="274"/>
    <n v="31"/>
    <n v="2.2000000000000002"/>
  </r>
  <r>
    <s v="Call_8148"/>
    <x v="8"/>
    <x v="113"/>
    <x v="2"/>
    <x v="274"/>
    <n v="108"/>
    <n v="4.8"/>
  </r>
  <r>
    <s v="Call_8149"/>
    <x v="7"/>
    <x v="70"/>
    <x v="3"/>
    <x v="275"/>
    <n v="58"/>
    <n v="4.3"/>
  </r>
  <r>
    <s v="Call_8150"/>
    <x v="7"/>
    <x v="90"/>
    <x v="2"/>
    <x v="275"/>
    <n v="185"/>
    <n v="2.2000000000000002"/>
  </r>
  <r>
    <s v="Call_8151"/>
    <x v="7"/>
    <x v="53"/>
    <x v="2"/>
    <x v="275"/>
    <n v="40"/>
    <n v="4.8"/>
  </r>
  <r>
    <s v="Call_8152"/>
    <x v="7"/>
    <x v="157"/>
    <x v="4"/>
    <x v="275"/>
    <n v="225"/>
    <n v="2.6"/>
  </r>
  <r>
    <s v="Call_8153"/>
    <x v="3"/>
    <x v="41"/>
    <x v="3"/>
    <x v="275"/>
    <n v="150"/>
    <n v="2.6"/>
  </r>
  <r>
    <s v="Call_8154"/>
    <x v="6"/>
    <x v="50"/>
    <x v="1"/>
    <x v="276"/>
    <n v="88"/>
    <n v="3.4"/>
  </r>
  <r>
    <s v="Call_8155"/>
    <x v="10"/>
    <x v="103"/>
    <x v="0"/>
    <x v="276"/>
    <n v="140"/>
    <n v="3.7"/>
  </r>
  <r>
    <s v="Call_8156"/>
    <x v="6"/>
    <x v="52"/>
    <x v="1"/>
    <x v="276"/>
    <n v="68"/>
    <n v="2.1"/>
  </r>
  <r>
    <s v="Call_8157"/>
    <x v="1"/>
    <x v="7"/>
    <x v="4"/>
    <x v="277"/>
    <n v="105"/>
    <n v="3.6"/>
  </r>
  <r>
    <s v="Call_8158"/>
    <x v="13"/>
    <x v="112"/>
    <x v="0"/>
    <x v="277"/>
    <n v="40"/>
    <n v="3.8"/>
  </r>
  <r>
    <s v="Call_8159"/>
    <x v="9"/>
    <x v="84"/>
    <x v="0"/>
    <x v="277"/>
    <n v="82"/>
    <n v="3.1"/>
  </r>
  <r>
    <s v="Call_8160"/>
    <x v="0"/>
    <x v="96"/>
    <x v="4"/>
    <x v="278"/>
    <n v="90"/>
    <n v="4.4000000000000004"/>
  </r>
  <r>
    <s v="Call_8161"/>
    <x v="2"/>
    <x v="133"/>
    <x v="3"/>
    <x v="279"/>
    <n v="66"/>
    <n v="4.8"/>
  </r>
  <r>
    <s v="Call_8162"/>
    <x v="14"/>
    <x v="63"/>
    <x v="1"/>
    <x v="279"/>
    <n v="78"/>
    <n v="3.5"/>
  </r>
  <r>
    <s v="Call_8163"/>
    <x v="3"/>
    <x v="6"/>
    <x v="3"/>
    <x v="280"/>
    <n v="66"/>
    <n v="4.4000000000000004"/>
  </r>
  <r>
    <s v="Call_8164"/>
    <x v="13"/>
    <x v="108"/>
    <x v="4"/>
    <x v="281"/>
    <n v="160"/>
    <n v="3.8"/>
  </r>
  <r>
    <s v="Call_8165"/>
    <x v="12"/>
    <x v="59"/>
    <x v="0"/>
    <x v="282"/>
    <n v="144"/>
    <n v="3.8"/>
  </r>
  <r>
    <s v="Call_8166"/>
    <x v="13"/>
    <x v="141"/>
    <x v="2"/>
    <x v="282"/>
    <n v="200"/>
    <n v="4.5999999999999996"/>
  </r>
  <r>
    <s v="Call_8167"/>
    <x v="5"/>
    <x v="143"/>
    <x v="1"/>
    <x v="283"/>
    <n v="220"/>
    <n v="5"/>
  </r>
  <r>
    <s v="Call_8168"/>
    <x v="3"/>
    <x v="28"/>
    <x v="3"/>
    <x v="284"/>
    <n v="112"/>
    <n v="3.2"/>
  </r>
  <r>
    <s v="Call_8169"/>
    <x v="2"/>
    <x v="129"/>
    <x v="4"/>
    <x v="284"/>
    <n v="110"/>
    <n v="3.7"/>
  </r>
  <r>
    <s v="Call_8170"/>
    <x v="11"/>
    <x v="33"/>
    <x v="0"/>
    <x v="285"/>
    <n v="160"/>
    <n v="2.7"/>
  </r>
  <r>
    <s v="Call_8171"/>
    <x v="11"/>
    <x v="78"/>
    <x v="4"/>
    <x v="285"/>
    <n v="84"/>
    <n v="4"/>
  </r>
  <r>
    <s v="Call_8172"/>
    <x v="2"/>
    <x v="108"/>
    <x v="1"/>
    <x v="285"/>
    <n v="124"/>
    <n v="2.6"/>
  </r>
  <r>
    <s v="Call_8173"/>
    <x v="11"/>
    <x v="89"/>
    <x v="2"/>
    <x v="285"/>
    <n v="84"/>
    <n v="4.5999999999999996"/>
  </r>
  <r>
    <s v="Call_8174"/>
    <x v="1"/>
    <x v="130"/>
    <x v="3"/>
    <x v="286"/>
    <n v="130"/>
    <n v="2.7"/>
  </r>
  <r>
    <s v="Call_8175"/>
    <x v="12"/>
    <x v="55"/>
    <x v="0"/>
    <x v="286"/>
    <n v="215"/>
    <n v="3.5"/>
  </r>
  <r>
    <s v="Call_8176"/>
    <x v="3"/>
    <x v="50"/>
    <x v="1"/>
    <x v="287"/>
    <n v="132"/>
    <n v="3.6"/>
  </r>
  <r>
    <s v="Call_8177"/>
    <x v="6"/>
    <x v="34"/>
    <x v="3"/>
    <x v="287"/>
    <n v="88"/>
    <n v="4.9000000000000004"/>
  </r>
  <r>
    <s v="Call_8178"/>
    <x v="0"/>
    <x v="48"/>
    <x v="1"/>
    <x v="287"/>
    <n v="140"/>
    <n v="3.9"/>
  </r>
  <r>
    <s v="Call_8179"/>
    <x v="11"/>
    <x v="5"/>
    <x v="3"/>
    <x v="288"/>
    <n v="66"/>
    <n v="4.7"/>
  </r>
  <r>
    <s v="Call_8180"/>
    <x v="8"/>
    <x v="34"/>
    <x v="0"/>
    <x v="288"/>
    <n v="23"/>
    <n v="4.5"/>
  </r>
  <r>
    <s v="Call_8181"/>
    <x v="6"/>
    <x v="148"/>
    <x v="0"/>
    <x v="289"/>
    <n v="220"/>
    <n v="4.5"/>
  </r>
  <r>
    <s v="Call_8182"/>
    <x v="7"/>
    <x v="63"/>
    <x v="4"/>
    <x v="290"/>
    <n v="175"/>
    <n v="4.4000000000000004"/>
  </r>
  <r>
    <s v="Call_8183"/>
    <x v="13"/>
    <x v="25"/>
    <x v="0"/>
    <x v="290"/>
    <n v="172"/>
    <n v="4.0999999999999996"/>
  </r>
  <r>
    <s v="Call_8184"/>
    <x v="9"/>
    <x v="129"/>
    <x v="2"/>
    <x v="290"/>
    <n v="108"/>
    <n v="3.8"/>
  </r>
  <r>
    <s v="Call_8185"/>
    <x v="8"/>
    <x v="121"/>
    <x v="0"/>
    <x v="291"/>
    <n v="43"/>
    <n v="4.2"/>
  </r>
  <r>
    <s v="Call_8186"/>
    <x v="6"/>
    <x v="40"/>
    <x v="1"/>
    <x v="291"/>
    <n v="44"/>
    <n v="2.2000000000000002"/>
  </r>
  <r>
    <s v="Call_8187"/>
    <x v="13"/>
    <x v="87"/>
    <x v="4"/>
    <x v="291"/>
    <n v="105"/>
    <n v="3.9"/>
  </r>
  <r>
    <s v="Call_8188"/>
    <x v="7"/>
    <x v="97"/>
    <x v="1"/>
    <x v="292"/>
    <n v="34"/>
    <n v="3.9"/>
  </r>
  <r>
    <s v="Call_8189"/>
    <x v="4"/>
    <x v="117"/>
    <x v="0"/>
    <x v="292"/>
    <n v="220"/>
    <n v="4.0999999999999996"/>
  </r>
  <r>
    <s v="Call_8190"/>
    <x v="0"/>
    <x v="90"/>
    <x v="4"/>
    <x v="292"/>
    <n v="225"/>
    <n v="4.5999999999999996"/>
  </r>
  <r>
    <s v="Call_8191"/>
    <x v="2"/>
    <x v="93"/>
    <x v="4"/>
    <x v="293"/>
    <n v="37"/>
    <n v="4.0999999999999996"/>
  </r>
  <r>
    <s v="Call_8192"/>
    <x v="12"/>
    <x v="47"/>
    <x v="1"/>
    <x v="293"/>
    <n v="44"/>
    <n v="5"/>
  </r>
  <r>
    <s v="Call_8193"/>
    <x v="5"/>
    <x v="17"/>
    <x v="1"/>
    <x v="294"/>
    <n v="35"/>
    <n v="2.8"/>
  </r>
  <r>
    <s v="Call_8194"/>
    <x v="12"/>
    <x v="17"/>
    <x v="0"/>
    <x v="294"/>
    <n v="145"/>
    <n v="2.7"/>
  </r>
  <r>
    <s v="Call_8195"/>
    <x v="6"/>
    <x v="51"/>
    <x v="4"/>
    <x v="294"/>
    <n v="64"/>
    <n v="3.9"/>
  </r>
  <r>
    <s v="Call_8196"/>
    <x v="12"/>
    <x v="107"/>
    <x v="0"/>
    <x v="295"/>
    <n v="185"/>
    <n v="4.3"/>
  </r>
  <r>
    <s v="Call_8197"/>
    <x v="3"/>
    <x v="74"/>
    <x v="1"/>
    <x v="295"/>
    <n v="215"/>
    <n v="2.5"/>
  </r>
  <r>
    <s v="Call_8198"/>
    <x v="8"/>
    <x v="7"/>
    <x v="2"/>
    <x v="295"/>
    <n v="88"/>
    <n v="3.4"/>
  </r>
  <r>
    <s v="Call_8199"/>
    <x v="12"/>
    <x v="99"/>
    <x v="4"/>
    <x v="295"/>
    <n v="23"/>
    <n v="3.4"/>
  </r>
  <r>
    <s v="Call_8200"/>
    <x v="2"/>
    <x v="54"/>
    <x v="2"/>
    <x v="296"/>
    <n v="180"/>
    <n v="1.8"/>
  </r>
  <r>
    <s v="Call_8201"/>
    <x v="13"/>
    <x v="53"/>
    <x v="4"/>
    <x v="297"/>
    <n v="225"/>
    <n v="3.7"/>
  </r>
  <r>
    <s v="Call_8202"/>
    <x v="4"/>
    <x v="137"/>
    <x v="1"/>
    <x v="298"/>
    <n v="74"/>
    <n v="4.0999999999999996"/>
  </r>
  <r>
    <s v="Call_8203"/>
    <x v="3"/>
    <x v="119"/>
    <x v="4"/>
    <x v="298"/>
    <n v="36"/>
    <n v="3"/>
  </r>
  <r>
    <s v="Call_8204"/>
    <x v="5"/>
    <x v="15"/>
    <x v="4"/>
    <x v="299"/>
    <n v="116"/>
    <n v="3.9"/>
  </r>
  <r>
    <s v="Call_8205"/>
    <x v="3"/>
    <x v="67"/>
    <x v="2"/>
    <x v="299"/>
    <n v="140"/>
    <n v="4"/>
  </r>
  <r>
    <s v="Call_8206"/>
    <x v="3"/>
    <x v="9"/>
    <x v="1"/>
    <x v="300"/>
    <n v="104"/>
    <n v="4.5"/>
  </r>
  <r>
    <s v="Call_8207"/>
    <x v="5"/>
    <x v="119"/>
    <x v="3"/>
    <x v="300"/>
    <n v="148"/>
    <n v="4"/>
  </r>
  <r>
    <s v="Call_8208"/>
    <x v="8"/>
    <x v="108"/>
    <x v="4"/>
    <x v="300"/>
    <n v="205"/>
    <n v="4.3"/>
  </r>
  <r>
    <s v="Call_8209"/>
    <x v="1"/>
    <x v="132"/>
    <x v="0"/>
    <x v="300"/>
    <n v="210"/>
    <n v="4.8"/>
  </r>
  <r>
    <s v="Call_8210"/>
    <x v="4"/>
    <x v="38"/>
    <x v="3"/>
    <x v="301"/>
    <n v="41"/>
    <n v="4.7"/>
  </r>
  <r>
    <s v="Call_8211"/>
    <x v="11"/>
    <x v="74"/>
    <x v="2"/>
    <x v="301"/>
    <n v="136"/>
    <n v="5"/>
  </r>
  <r>
    <s v="Call_8212"/>
    <x v="9"/>
    <x v="45"/>
    <x v="1"/>
    <x v="302"/>
    <n v="126"/>
    <n v="1.5"/>
  </r>
  <r>
    <s v="Call_8213"/>
    <x v="2"/>
    <x v="24"/>
    <x v="0"/>
    <x v="303"/>
    <n v="148"/>
    <n v="4.0999999999999996"/>
  </r>
  <r>
    <s v="Call_8214"/>
    <x v="9"/>
    <x v="72"/>
    <x v="1"/>
    <x v="303"/>
    <n v="125"/>
    <n v="3.9"/>
  </r>
  <r>
    <s v="Call_8215"/>
    <x v="6"/>
    <x v="144"/>
    <x v="2"/>
    <x v="303"/>
    <n v="25"/>
    <n v="4.0999999999999996"/>
  </r>
  <r>
    <s v="Call_8216"/>
    <x v="7"/>
    <x v="162"/>
    <x v="4"/>
    <x v="304"/>
    <n v="62"/>
    <n v="2.8"/>
  </r>
  <r>
    <s v="Call_8217"/>
    <x v="2"/>
    <x v="115"/>
    <x v="2"/>
    <x v="305"/>
    <n v="90"/>
    <n v="4.5999999999999996"/>
  </r>
  <r>
    <s v="Call_8218"/>
    <x v="1"/>
    <x v="116"/>
    <x v="3"/>
    <x v="306"/>
    <n v="33"/>
    <n v="4.8"/>
  </r>
  <r>
    <s v="Call_8219"/>
    <x v="3"/>
    <x v="42"/>
    <x v="4"/>
    <x v="306"/>
    <n v="115"/>
    <n v="2.2999999999999998"/>
  </r>
  <r>
    <s v="Call_8220"/>
    <x v="1"/>
    <x v="122"/>
    <x v="3"/>
    <x v="306"/>
    <n v="45"/>
    <n v="2.6"/>
  </r>
  <r>
    <s v="Call_8221"/>
    <x v="6"/>
    <x v="156"/>
    <x v="0"/>
    <x v="306"/>
    <n v="114"/>
    <n v="4.8"/>
  </r>
  <r>
    <s v="Call_8222"/>
    <x v="3"/>
    <x v="9"/>
    <x v="1"/>
    <x v="307"/>
    <n v="72"/>
    <n v="3.7"/>
  </r>
  <r>
    <s v="Call_8223"/>
    <x v="10"/>
    <x v="63"/>
    <x v="0"/>
    <x v="307"/>
    <n v="205"/>
    <n v="4.2"/>
  </r>
  <r>
    <s v="Call_8224"/>
    <x v="1"/>
    <x v="40"/>
    <x v="1"/>
    <x v="308"/>
    <n v="42"/>
    <n v="3.3"/>
  </r>
  <r>
    <s v="Call_8225"/>
    <x v="7"/>
    <x v="122"/>
    <x v="0"/>
    <x v="308"/>
    <n v="96"/>
    <n v="4.3"/>
  </r>
  <r>
    <s v="Call_8226"/>
    <x v="3"/>
    <x v="145"/>
    <x v="4"/>
    <x v="308"/>
    <n v="64"/>
    <n v="3.7"/>
  </r>
  <r>
    <s v="Call_8227"/>
    <x v="10"/>
    <x v="50"/>
    <x v="0"/>
    <x v="309"/>
    <n v="72"/>
    <n v="3.7"/>
  </r>
  <r>
    <s v="Call_8228"/>
    <x v="6"/>
    <x v="18"/>
    <x v="3"/>
    <x v="310"/>
    <n v="27"/>
    <n v="3.1"/>
  </r>
  <r>
    <s v="Call_8229"/>
    <x v="7"/>
    <x v="67"/>
    <x v="3"/>
    <x v="311"/>
    <n v="200"/>
    <n v="2.4"/>
  </r>
  <r>
    <s v="Call_8230"/>
    <x v="6"/>
    <x v="128"/>
    <x v="1"/>
    <x v="312"/>
    <n v="93"/>
    <n v="3.5"/>
  </r>
  <r>
    <s v="Call_8231"/>
    <x v="12"/>
    <x v="54"/>
    <x v="4"/>
    <x v="312"/>
    <n v="54"/>
    <n v="4.3"/>
  </r>
  <r>
    <s v="Call_8232"/>
    <x v="6"/>
    <x v="6"/>
    <x v="1"/>
    <x v="313"/>
    <n v="72"/>
    <n v="3.4"/>
  </r>
  <r>
    <s v="Call_8233"/>
    <x v="9"/>
    <x v="47"/>
    <x v="2"/>
    <x v="313"/>
    <n v="82"/>
    <n v="3.7"/>
  </r>
  <r>
    <s v="Call_8234"/>
    <x v="12"/>
    <x v="74"/>
    <x v="4"/>
    <x v="314"/>
    <n v="164"/>
    <n v="4.8"/>
  </r>
  <r>
    <s v="Call_8235"/>
    <x v="2"/>
    <x v="30"/>
    <x v="1"/>
    <x v="314"/>
    <n v="78"/>
    <n v="3.3"/>
  </r>
  <r>
    <s v="Call_8236"/>
    <x v="10"/>
    <x v="109"/>
    <x v="3"/>
    <x v="315"/>
    <n v="135"/>
    <n v="4.2"/>
  </r>
  <r>
    <s v="Call_8237"/>
    <x v="14"/>
    <x v="76"/>
    <x v="4"/>
    <x v="316"/>
    <n v="145"/>
    <n v="2.6"/>
  </r>
  <r>
    <s v="Call_8238"/>
    <x v="5"/>
    <x v="74"/>
    <x v="3"/>
    <x v="316"/>
    <n v="115"/>
    <n v="4.9000000000000004"/>
  </r>
  <r>
    <s v="Call_8239"/>
    <x v="13"/>
    <x v="89"/>
    <x v="1"/>
    <x v="316"/>
    <n v="117"/>
    <n v="2"/>
  </r>
  <r>
    <s v="Call_8240"/>
    <x v="14"/>
    <x v="119"/>
    <x v="0"/>
    <x v="317"/>
    <n v="36"/>
    <n v="4.7"/>
  </r>
  <r>
    <s v="Call_8241"/>
    <x v="2"/>
    <x v="64"/>
    <x v="0"/>
    <x v="317"/>
    <n v="84"/>
    <n v="2.8"/>
  </r>
  <r>
    <s v="Call_8242"/>
    <x v="8"/>
    <x v="56"/>
    <x v="0"/>
    <x v="317"/>
    <n v="66"/>
    <n v="3.2"/>
  </r>
  <r>
    <s v="Call_8243"/>
    <x v="6"/>
    <x v="52"/>
    <x v="3"/>
    <x v="317"/>
    <n v="76"/>
    <n v="4.7"/>
  </r>
  <r>
    <s v="Call_8244"/>
    <x v="11"/>
    <x v="116"/>
    <x v="3"/>
    <x v="317"/>
    <n v="185"/>
    <n v="4.8"/>
  </r>
  <r>
    <s v="Call_8245"/>
    <x v="2"/>
    <x v="116"/>
    <x v="2"/>
    <x v="318"/>
    <n v="80"/>
    <n v="4.7"/>
  </r>
  <r>
    <s v="Call_8246"/>
    <x v="7"/>
    <x v="81"/>
    <x v="3"/>
    <x v="318"/>
    <n v="148"/>
    <n v="4"/>
  </r>
  <r>
    <s v="Call_8247"/>
    <x v="2"/>
    <x v="5"/>
    <x v="4"/>
    <x v="319"/>
    <n v="180"/>
    <n v="4.9000000000000004"/>
  </r>
  <r>
    <s v="Call_8248"/>
    <x v="9"/>
    <x v="134"/>
    <x v="2"/>
    <x v="320"/>
    <n v="190"/>
    <n v="3.7"/>
  </r>
  <r>
    <s v="Call_8249"/>
    <x v="4"/>
    <x v="107"/>
    <x v="3"/>
    <x v="320"/>
    <n v="38"/>
    <n v="4.5"/>
  </r>
  <r>
    <s v="Call_8250"/>
    <x v="5"/>
    <x v="77"/>
    <x v="1"/>
    <x v="321"/>
    <n v="82"/>
    <n v="2.1"/>
  </r>
  <r>
    <s v="Call_8251"/>
    <x v="14"/>
    <x v="34"/>
    <x v="3"/>
    <x v="322"/>
    <n v="88"/>
    <n v="2.8"/>
  </r>
  <r>
    <s v="Call_8252"/>
    <x v="3"/>
    <x v="129"/>
    <x v="4"/>
    <x v="322"/>
    <n v="42"/>
    <n v="4.0999999999999996"/>
  </r>
  <r>
    <s v="Call_8253"/>
    <x v="10"/>
    <x v="163"/>
    <x v="0"/>
    <x v="323"/>
    <n v="64"/>
    <n v="3.3"/>
  </r>
  <r>
    <s v="Call_8254"/>
    <x v="7"/>
    <x v="115"/>
    <x v="0"/>
    <x v="323"/>
    <n v="105"/>
    <n v="1.7"/>
  </r>
  <r>
    <s v="Call_8255"/>
    <x v="1"/>
    <x v="20"/>
    <x v="2"/>
    <x v="323"/>
    <n v="25"/>
    <n v="3.6"/>
  </r>
  <r>
    <s v="Call_8256"/>
    <x v="0"/>
    <x v="31"/>
    <x v="1"/>
    <x v="324"/>
    <n v="176"/>
    <n v="3.6"/>
  </r>
  <r>
    <s v="Call_8257"/>
    <x v="0"/>
    <x v="32"/>
    <x v="3"/>
    <x v="325"/>
    <n v="46"/>
    <n v="4.5999999999999996"/>
  </r>
  <r>
    <s v="Call_8258"/>
    <x v="9"/>
    <x v="113"/>
    <x v="0"/>
    <x v="325"/>
    <n v="164"/>
    <n v="4.8"/>
  </r>
  <r>
    <s v="Call_8259"/>
    <x v="10"/>
    <x v="55"/>
    <x v="0"/>
    <x v="326"/>
    <n v="64"/>
    <n v="4.5"/>
  </r>
  <r>
    <s v="Call_8260"/>
    <x v="8"/>
    <x v="96"/>
    <x v="4"/>
    <x v="326"/>
    <n v="205"/>
    <n v="4.5"/>
  </r>
  <r>
    <s v="Call_8261"/>
    <x v="2"/>
    <x v="155"/>
    <x v="4"/>
    <x v="327"/>
    <n v="100"/>
    <n v="4.5999999999999996"/>
  </r>
  <r>
    <s v="Call_8262"/>
    <x v="4"/>
    <x v="101"/>
    <x v="1"/>
    <x v="327"/>
    <n v="111"/>
    <n v="4.5999999999999996"/>
  </r>
  <r>
    <s v="Call_8263"/>
    <x v="3"/>
    <x v="77"/>
    <x v="2"/>
    <x v="327"/>
    <n v="80"/>
    <n v="3.5"/>
  </r>
  <r>
    <s v="Call_8264"/>
    <x v="10"/>
    <x v="48"/>
    <x v="3"/>
    <x v="327"/>
    <n v="50"/>
    <n v="2.9"/>
  </r>
  <r>
    <s v="Call_8265"/>
    <x v="3"/>
    <x v="97"/>
    <x v="0"/>
    <x v="328"/>
    <n v="165"/>
    <n v="4.7"/>
  </r>
  <r>
    <s v="Call_8266"/>
    <x v="8"/>
    <x v="22"/>
    <x v="0"/>
    <x v="328"/>
    <n v="28"/>
    <n v="3.9"/>
  </r>
  <r>
    <s v="Call_8267"/>
    <x v="5"/>
    <x v="76"/>
    <x v="3"/>
    <x v="328"/>
    <n v="215"/>
    <n v="3.8"/>
  </r>
  <r>
    <s v="Call_8268"/>
    <x v="7"/>
    <x v="148"/>
    <x v="0"/>
    <x v="329"/>
    <n v="115"/>
    <n v="2.2999999999999998"/>
  </r>
  <r>
    <s v="Call_8269"/>
    <x v="6"/>
    <x v="114"/>
    <x v="0"/>
    <x v="329"/>
    <n v="64"/>
    <n v="3.7"/>
  </r>
  <r>
    <s v="Call_8270"/>
    <x v="9"/>
    <x v="59"/>
    <x v="2"/>
    <x v="329"/>
    <n v="40"/>
    <n v="3.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29F8D78-0FAC-4EBA-A094-2A144E806DE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10">
    <pivotField dataField="1" showAll="0"/>
    <pivotField showAll="0"/>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axis="axisRow" showAll="0">
      <items count="6">
        <item x="0"/>
        <item x="1"/>
        <item x="2"/>
        <item x="3"/>
        <item x="4"/>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6">
    <i>
      <x/>
    </i>
    <i>
      <x v="1"/>
    </i>
    <i>
      <x v="2"/>
    </i>
    <i>
      <x v="3"/>
    </i>
    <i>
      <x v="4"/>
    </i>
    <i t="grand">
      <x/>
    </i>
  </rowItems>
  <colItems count="1">
    <i/>
  </colItems>
  <dataFields count="1">
    <dataField name="Count of Call numb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86D369B-CC2B-4ACC-982F-8BA31828C0B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28:B41" firstHeaderRow="1" firstDataRow="1" firstDataCol="1"/>
  <pivotFields count="10">
    <pivotField showAll="0"/>
    <pivotField showAll="0"/>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items count="6">
        <item h="1" x="2"/>
        <item h="1" x="1"/>
        <item x="4"/>
        <item h="1" x="3"/>
        <item h="1" x="0"/>
        <item t="default"/>
      </items>
    </pivotField>
    <pivotField axis="axisRow"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dataField="1" showAll="0"/>
    <pivotField showAll="0"/>
    <pivotField showAll="0" defaultSubtotal="0">
      <items count="5">
        <item x="0"/>
        <item x="1"/>
        <item x="2"/>
        <item x="3"/>
        <item x="4"/>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n="graphs" sd="0" x="3"/>
        <item sd="0" x="4"/>
        <item sd="0" x="5"/>
        <item sd="0" x="6"/>
        <item sd="0" x="7"/>
        <item sd="0" x="8"/>
        <item sd="0" x="9"/>
        <item sd="0" x="10"/>
        <item sd="0" x="11"/>
        <item sd="0" x="12"/>
        <item sd="0" x="13"/>
        <item t="default"/>
      </items>
    </pivotField>
  </pivotFields>
  <rowFields count="3">
    <field x="9"/>
    <field x="8"/>
    <field x="4"/>
  </rowFields>
  <rowItems count="13">
    <i>
      <x v="1"/>
    </i>
    <i>
      <x v="2"/>
    </i>
    <i>
      <x v="3"/>
    </i>
    <i>
      <x v="4"/>
    </i>
    <i>
      <x v="5"/>
    </i>
    <i>
      <x v="6"/>
    </i>
    <i>
      <x v="7"/>
    </i>
    <i>
      <x v="8"/>
    </i>
    <i>
      <x v="9"/>
    </i>
    <i>
      <x v="10"/>
    </i>
    <i>
      <x v="11"/>
    </i>
    <i>
      <x v="12"/>
    </i>
    <i t="grand">
      <x/>
    </i>
  </rowItems>
  <colItems count="1">
    <i/>
  </colItems>
  <dataFields count="1">
    <dataField name="Sum of Purchase Amount" fld="5" showDataAs="runTotal" baseField="9" baseItem="0"/>
  </dataFields>
  <chartFormats count="1">
    <chartFormat chart="1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7BF69AB-8576-4A55-A84C-4D5B44A30E1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6" firstHeaderRow="1" firstDataRow="1" firstDataCol="1"/>
  <pivotFields count="10">
    <pivotField dataField="1" showAll="0"/>
    <pivotField showAll="0"/>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items count="6">
        <item h="1" x="2"/>
        <item h="1" x="1"/>
        <item x="4"/>
        <item h="1" x="3"/>
        <item h="1" x="0"/>
        <item t="default"/>
      </items>
    </pivotField>
    <pivotField axis="axisRow"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defaultSubtotal="0">
      <items count="5">
        <item x="0"/>
        <item x="1"/>
        <item x="2"/>
        <item x="3"/>
        <item x="4"/>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9"/>
    <field x="8"/>
    <field x="4"/>
  </rowFields>
  <rowItems count="13">
    <i>
      <x v="1"/>
    </i>
    <i>
      <x v="2"/>
    </i>
    <i>
      <x v="3"/>
    </i>
    <i>
      <x v="4"/>
    </i>
    <i>
      <x v="5"/>
    </i>
    <i>
      <x v="6"/>
    </i>
    <i>
      <x v="7"/>
    </i>
    <i>
      <x v="8"/>
    </i>
    <i>
      <x v="9"/>
    </i>
    <i>
      <x v="10"/>
    </i>
    <i>
      <x v="11"/>
    </i>
    <i>
      <x v="12"/>
    </i>
    <i t="grand">
      <x/>
    </i>
  </rowItems>
  <colItems count="1">
    <i/>
  </colItems>
  <dataFields count="1">
    <dataField name="Count of Call number" fld="0" subtotal="count" baseField="0" baseItem="0"/>
  </dataField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5E26F93-8B3E-4DBA-9322-EB8F12EDE060}" name="PivotTable1"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numFmtId="165"/>
    <dataField fld="2" subtotal="count" baseField="0" baseItem="0" numFmtId="3"/>
    <dataField fld="3" subtotal="count" baseField="0" baseItem="0" numFmtId="166"/>
    <dataField fld="4" subtotal="count" baseField="0" baseItem="0"/>
  </dataField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5.sample-data-pivots-blank.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76D2A4A-B394-48FA-B87D-7C9475FCB0B8}" name="PivotTable2"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7:E8"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numFmtId="165"/>
    <dataField fld="2" subtotal="count" baseField="0" baseItem="0" numFmtId="3"/>
    <dataField fld="3" subtotal="count" baseField="0" baseItem="0" numFmtId="166"/>
    <dataField fld="4" subtotal="count" baseField="0" baseItem="0"/>
  </dataFields>
  <pivotHierarchies count="24">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5.sample-data-pivots-blank.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914A2EE-4333-48B5-93DE-B0154372020A}"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64:D69"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7">
    <chartFormat chart="5" format="0" series="1">
      <pivotArea type="data" outline="0" fieldPosition="0">
        <references count="2">
          <reference field="4294967294" count="1" selected="0">
            <x v="0"/>
          </reference>
          <reference field="1" count="1" selected="0">
            <x v="0"/>
          </reference>
        </references>
      </pivotArea>
    </chartFormat>
    <chartFormat chart="5" format="1" series="1">
      <pivotArea type="data" outline="0" fieldPosition="0">
        <references count="2">
          <reference field="4294967294" count="1" selected="0">
            <x v="0"/>
          </reference>
          <reference field="1" count="1" selected="0">
            <x v="1"/>
          </reference>
        </references>
      </pivotArea>
    </chartFormat>
    <chartFormat chart="7" format="4" series="1">
      <pivotArea type="data" outline="0" fieldPosition="0">
        <references count="2">
          <reference field="4294967294" count="1" selected="0">
            <x v="0"/>
          </reference>
          <reference field="1" count="1" selected="0">
            <x v="0"/>
          </reference>
        </references>
      </pivotArea>
    </chartFormat>
    <chartFormat chart="7" format="5" series="1">
      <pivotArea type="data" outline="0" fieldPosition="0">
        <references count="2">
          <reference field="4294967294" count="1" selected="0">
            <x v="0"/>
          </reference>
          <reference field="1" count="1" selected="0">
            <x v="1"/>
          </reference>
        </references>
      </pivotArea>
    </chartFormat>
    <chartFormat chart="7" format="6">
      <pivotArea type="data" outline="0" fieldPosition="0">
        <references count="3">
          <reference field="4294967294" count="1" selected="0">
            <x v="0"/>
          </reference>
          <reference field="0" count="1" selected="0">
            <x v="2"/>
          </reference>
          <reference field="1" count="1" selected="0">
            <x v="1"/>
          </reference>
        </references>
      </pivotArea>
    </chartFormat>
    <chartFormat chart="7" format="7">
      <pivotArea type="data" outline="0" fieldPosition="0">
        <references count="3">
          <reference field="4294967294" count="1" selected="0">
            <x v="0"/>
          </reference>
          <reference field="0" count="1" selected="0">
            <x v="1"/>
          </reference>
          <reference field="1" count="1" selected="0">
            <x v="1"/>
          </reference>
        </references>
      </pivotArea>
    </chartFormat>
    <chartFormat chart="7" format="8">
      <pivotArea type="data" outline="0" fieldPosition="0">
        <references count="3">
          <reference field="4294967294" count="1" selected="0">
            <x v="0"/>
          </reference>
          <reference field="0" count="1" selected="0">
            <x v="0"/>
          </reference>
          <reference field="1" count="1" selected="0">
            <x v="1"/>
          </reference>
        </references>
      </pivotArea>
    </chartFormat>
  </chart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91CB101-6F02-4D58-BB26-CA36863DF0EF}" name="PivotTable3"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8">
  <location ref="A18:C31"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1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Call Count2" fld="4" subtotal="count" baseField="0" baseItem="0">
      <extLst>
        <ext xmlns:x14="http://schemas.microsoft.com/office/spreadsheetml/2009/9/main" uri="{E15A36E0-9728-4e99-A89B-3F7291B0FE68}">
          <x14:dataField sourceField="3" uniqueName="[__Xl2].[Measures].[Call Count]"/>
        </ext>
      </extLst>
    </dataField>
  </dataFields>
  <chartFormats count="2">
    <chartFormat chart="15" format="4" series="1">
      <pivotArea type="data" outline="0" fieldPosition="0">
        <references count="1">
          <reference field="4294967294" count="1" selected="0">
            <x v="1"/>
          </reference>
        </references>
      </pivotArea>
    </chartFormat>
    <chartFormat chart="15" format="5"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8"/>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5.sample-data-pivots-blank.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8CB94F1-E201-4E38-BA88-80FC257C897F}"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7:C43"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C960E94-0D71-4363-8F23-6342F3A1637A}" name="PivotTable6" cacheId="8"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D48:D49"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pivotHierarchies count="2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5628666-7BD5-446B-91E4-64B318EB4BE8}" name="PivotTable9" cacheId="4"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18">
  <location ref="A82:G101" firstHeaderRow="1" firstDataRow="2" firstDataCol="1"/>
  <pivotFields count="4">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s>
  <rowFields count="2">
    <field x="1"/>
    <field x="2"/>
  </rowFields>
  <rowItems count="18">
    <i>
      <x/>
    </i>
    <i r="1">
      <x/>
    </i>
    <i r="1">
      <x v="1"/>
    </i>
    <i r="1">
      <x v="2"/>
    </i>
    <i r="1">
      <x v="3"/>
    </i>
    <i>
      <x v="1"/>
    </i>
    <i r="1">
      <x v="4"/>
    </i>
    <i r="1">
      <x v="5"/>
    </i>
    <i r="1">
      <x v="6"/>
    </i>
    <i r="1">
      <x v="7"/>
    </i>
    <i r="1">
      <x v="8"/>
    </i>
    <i r="1">
      <x v="9"/>
    </i>
    <i>
      <x v="2"/>
    </i>
    <i r="1">
      <x v="10"/>
    </i>
    <i r="1">
      <x v="11"/>
    </i>
    <i r="1">
      <x v="12"/>
    </i>
    <i r="1">
      <x v="13"/>
    </i>
    <i r="1">
      <x v="14"/>
    </i>
  </rowItems>
  <colFields count="1">
    <field x="0"/>
  </colFields>
  <colItems count="6">
    <i>
      <x/>
    </i>
    <i>
      <x v="1"/>
    </i>
    <i>
      <x v="2"/>
    </i>
    <i>
      <x v="3"/>
    </i>
    <i>
      <x v="4"/>
    </i>
    <i t="grand">
      <x/>
    </i>
  </colItems>
  <dataFields count="1">
    <dataField name="Sum of Purchase Amount" fld="3" baseField="0" baseItem="0"/>
  </dataFields>
  <pivotHierarchies count="2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2">
    <rowHierarchyUsage hierarchyUsage="13"/>
    <rowHierarchyUsage hierarchyUsage="10"/>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7A2DAFF-D90B-47FC-BC44-96FF3D932D97}" name="rating" cacheId="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8">
  <location ref="A73:B79"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dataFields>
  <chartFormats count="1">
    <chartFormat chart="17" format="2"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1579DD7-2487-4C13-9007-7BDDB3A0EDFA}" name="PivotTable4"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1">
  <location ref="F18:G26" firstHeaderRow="1" firstDataRow="1" firstDataCol="1"/>
  <pivotFields count="3">
    <pivotField allDrilled="1" subtotalTop="0" showAll="0" dataSourceSort="1" defaultSubtotal="0" defaultAttributeDrillState="1"/>
    <pivotField axis="axisRow" allDrilled="1" subtotalTop="0" showAll="0" sortType="ascending" defaultSubtotal="0" defaultAttributeDrillState="1">
      <items count="7">
        <item x="3"/>
        <item x="1"/>
        <item x="5"/>
        <item x="6"/>
        <item x="4"/>
        <item x="0"/>
        <item x="2"/>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fld="2" subtotal="count" baseField="0" baseItem="0"/>
  </dataFields>
  <chartFormats count="1">
    <chartFormat chart="30" format="2"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5.sample-data-pivots-blank.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BB5E0F74-3E9B-4BEA-9992-0244CBF67D7C}" autoFormatId="16" applyNumberFormats="0" applyBorderFormats="0" applyFontFormats="0" applyPatternFormats="0" applyAlignmentFormats="0" applyWidthHeightFormats="0">
  <queryTableRefresh nextId="9">
    <queryTableFields count="8">
      <queryTableField id="1" name="calls[Call number]" tableColumnId="1"/>
      <queryTableField id="2" name="calls[Customer ID]" tableColumnId="2"/>
      <queryTableField id="3" name="calls[Duration]" tableColumnId="3"/>
      <queryTableField id="4" name="calls[Representative]" tableColumnId="4"/>
      <queryTableField id="5" name="calls[Date of Call]" tableColumnId="5"/>
      <queryTableField id="6" name="calls[Purchase Amount]" tableColumnId="6"/>
      <queryTableField id="7" name="calls[Satisfaction Rating]" tableColumnId="7"/>
      <queryTableField id="8" name="calls[Rounded rating]" tableColumnId="8"/>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1" xr10:uid="{59731BD6-D37D-493D-9EC6-608FDD00AF5B}" sourceName="Representative">
  <pivotTables>
    <pivotTable tabId="8" name="PivotTable1"/>
    <pivotTable tabId="8" name="PivotTable2"/>
  </pivotTables>
  <data>
    <tabular pivotCacheId="234427613">
      <items count="5">
        <i x="2"/>
        <i x="1"/>
        <i x="4" s="1"/>
        <i x="3"/>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2" xr10:uid="{8B24DF8E-992B-47CD-BB96-D81C17C726F2}" sourceName="[calls].[Representative]">
  <pivotTables>
    <pivotTable tabId="10" name="PivotTable2"/>
    <pivotTable tabId="10" name="PivotTable3"/>
    <pivotTable tabId="10" name="PivotTable4"/>
    <pivotTable tabId="10" name="PivotTable6"/>
    <pivotTable tabId="10" name="rating"/>
  </pivotTables>
  <data>
    <olap pivotCacheId="1109762934">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2]"/>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1" xr10:uid="{2C0E12D2-8656-4945-A648-AC15C05A41EF}" cache="Slicer_Representative1" caption="Representative"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2" xr10:uid="{7E9841AA-3C51-45AD-9274-561848B64C92}" cache="Slicer_Representative2" caption="Representative" level="1" rowHeight="247650"/>
  <slicer name="Representative 4" xr10:uid="{75B8FDF7-2000-4555-904D-38DC647A4A1C}" cache="Slicer_Representative2" caption="Representative" level="1"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3" xr10:uid="{3308E1D1-8EA9-45CB-8B21-5D07678343E8}" cache="Slicer_Representative2" caption="Representative"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CDF3201-5CA6-476B-8B51-0A4E9D26ABE6}" name="Table_ExternalData_1" displayName="Table_ExternalData_1" ref="A3:H1003" tableType="queryTable" totalsRowShown="0">
  <autoFilter ref="A3:H1003" xr:uid="{7CDF3201-5CA6-476B-8B51-0A4E9D26ABE6}"/>
  <tableColumns count="8">
    <tableColumn id="1" xr3:uid="{6128540E-51C2-4055-AE40-FFCDFBB6BE36}" uniqueName="1" name="calls[Call number]" queryTableFieldId="1"/>
    <tableColumn id="2" xr3:uid="{5562B9B8-C296-46BF-B4C8-93E8D80C12EC}" uniqueName="2" name="calls[Customer ID]" queryTableFieldId="2"/>
    <tableColumn id="3" xr3:uid="{B2C5357D-AA78-499B-BAF9-B27374C7F1CC}" uniqueName="3" name="calls[Duration]" queryTableFieldId="3"/>
    <tableColumn id="4" xr3:uid="{90369808-9659-4C2E-B33D-73B2C10F6FC7}" uniqueName="4" name="calls[Representative]" queryTableFieldId="4"/>
    <tableColumn id="5" xr3:uid="{AD1FC852-F5B2-47FF-8642-4CB05172489F}" uniqueName="5" name="calls[Date of Call]" queryTableFieldId="5" dataDxfId="21"/>
    <tableColumn id="6" xr3:uid="{522532AB-7A77-404A-B894-1C0A25861D64}" uniqueName="6" name="calls[Purchase Amount]" queryTableFieldId="6"/>
    <tableColumn id="7" xr3:uid="{DEA7E9A3-4621-464C-A100-9A8D485E0CC9}" uniqueName="7" name="calls[Satisfaction Rating]" queryTableFieldId="7"/>
    <tableColumn id="8" xr3:uid="{5BB9573D-0B2D-429C-A1E7-B606C3D4B8C0}" uniqueName="8" name="calls[Rounded rating]" queryTableFieldId="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196383C-39F2-4CCA-BD83-5D82CB6C76B7}" name="calls" displayName="calls" ref="B3:J1003" totalsRowShown="0" headerRowBorderDxfId="20" tableBorderDxfId="19" totalsRowBorderDxfId="18">
  <autoFilter ref="B3:J1003" xr:uid="{9196383C-39F2-4CCA-BD83-5D82CB6C76B7}"/>
  <tableColumns count="9">
    <tableColumn id="1" xr3:uid="{9B0554C1-6CDD-435B-9B4C-DC0ADDEEEEE9}" name="Call number" dataDxfId="17"/>
    <tableColumn id="2" xr3:uid="{389DA32B-3360-493C-9D7A-0F1B155795BA}" name="Customer ID" dataDxfId="16"/>
    <tableColumn id="3" xr3:uid="{29C527F2-EBD3-4CAF-A4BF-16F4935EB3A5}" name="Duration" dataDxfId="15"/>
    <tableColumn id="4" xr3:uid="{2D6C9A7F-ECB2-4970-95A9-85D1B8C28134}" name="Representative" dataDxfId="14"/>
    <tableColumn id="5" xr3:uid="{4EC85633-27CF-4EB0-89F6-2FBB5E490F0C}" name="Date of Call" dataDxfId="13"/>
    <tableColumn id="6" xr3:uid="{91A77997-93C9-4EA0-A729-E0AE7409E60D}" name="Purchase Amount" dataDxfId="12"/>
    <tableColumn id="7" xr3:uid="{444854C5-6C5F-4D9F-8F3E-018B09E4C8C0}" name="Satisfaction Rating" dataDxfId="11"/>
    <tableColumn id="8" xr3:uid="{E0F4E354-F4F5-4388-A367-207A31878D42}" name="Rounded rating" dataDxfId="10">
      <calculatedColumnFormula>ROUND(calls[[#This Row],[Satisfaction Rating]],0)</calculatedColumnFormula>
    </tableColumn>
    <tableColumn id="9" xr3:uid="{5D24DAD1-576C-4494-805E-ACA74BD5276A}" name="day" dataDxfId="9">
      <calculatedColumnFormula>TEXT(calls[[#This Row],[Date of Call]],"DDDD")</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896C246-C5BD-4391-820A-7366E5A0AA1F}" name="customers" displayName="customers" ref="L3:O18" totalsRowShown="0" headerRowDxfId="8" headerRowBorderDxfId="7" tableBorderDxfId="6" totalsRowBorderDxfId="5">
  <autoFilter ref="L3:O18" xr:uid="{6896C246-C5BD-4391-820A-7366E5A0AA1F}"/>
  <tableColumns count="4">
    <tableColumn id="1" xr3:uid="{A85667F0-4DF0-4B76-8629-7A4514F84A67}" name="Customer ID" dataDxfId="4"/>
    <tableColumn id="2" xr3:uid="{B61501E8-227E-4F2F-AD58-7F69D47B3AB9}" name="Gedner" dataDxfId="3"/>
    <tableColumn id="3" xr3:uid="{2041CA92-DD17-490D-8946-ABC1DD203DB6}" name="Age" dataDxfId="2"/>
    <tableColumn id="4" xr3:uid="{3C7A80BE-92F2-4896-9BDC-D93B345A02D5}" name="City" dataDxfId="1"/>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Custom 1">
      <a:majorFont>
        <a:latin typeface="Franklin Gothic Heavy"/>
        <a:ea typeface=""/>
        <a:cs typeface=""/>
      </a:majorFont>
      <a:minorFont>
        <a:latin typeface="Century Schoolbook"/>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1.xml"/><Relationship Id="rId3" Type="http://schemas.openxmlformats.org/officeDocument/2006/relationships/pivotTable" Target="../pivotTables/pivotTable6.xml"/><Relationship Id="rId7" Type="http://schemas.openxmlformats.org/officeDocument/2006/relationships/pivotTable" Target="../pivotTables/pivotTable10.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11" Type="http://schemas.microsoft.com/office/2007/relationships/slicer" Target="../slicers/slicer2.xml"/><Relationship Id="rId5" Type="http://schemas.openxmlformats.org/officeDocument/2006/relationships/pivotTable" Target="../pivotTables/pivotTable8.xml"/><Relationship Id="rId10" Type="http://schemas.openxmlformats.org/officeDocument/2006/relationships/drawing" Target="../drawings/drawing2.xml"/><Relationship Id="rId4" Type="http://schemas.openxmlformats.org/officeDocument/2006/relationships/pivotTable" Target="../pivotTables/pivotTable7.xml"/><Relationship Id="rId9" Type="http://schemas.openxmlformats.org/officeDocument/2006/relationships/pivotTable" Target="../pivotTables/pivotTable12.xml"/></Relationships>
</file>

<file path=xl/worksheets/_rels/sheet5.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DFFA1-A973-4324-8A08-DE5FE9023225}">
  <dimension ref="A3:B9"/>
  <sheetViews>
    <sheetView workbookViewId="0">
      <selection activeCell="A3" sqref="A3"/>
    </sheetView>
  </sheetViews>
  <sheetFormatPr defaultRowHeight="13.8" x14ac:dyDescent="0.25"/>
  <cols>
    <col min="1" max="1" width="12.296875" customWidth="1"/>
    <col min="2" max="2" width="18.5" customWidth="1"/>
  </cols>
  <sheetData>
    <row r="3" spans="1:2" x14ac:dyDescent="0.25">
      <c r="A3" s="20" t="s">
        <v>1036</v>
      </c>
      <c r="B3" t="s">
        <v>1039</v>
      </c>
    </row>
    <row r="4" spans="1:2" x14ac:dyDescent="0.25">
      <c r="A4" s="21" t="s">
        <v>1040</v>
      </c>
      <c r="B4">
        <v>9</v>
      </c>
    </row>
    <row r="5" spans="1:2" x14ac:dyDescent="0.25">
      <c r="A5" s="21" t="s">
        <v>1041</v>
      </c>
      <c r="B5">
        <v>51</v>
      </c>
    </row>
    <row r="6" spans="1:2" x14ac:dyDescent="0.25">
      <c r="A6" s="21" t="s">
        <v>1042</v>
      </c>
      <c r="B6">
        <v>179</v>
      </c>
    </row>
    <row r="7" spans="1:2" x14ac:dyDescent="0.25">
      <c r="A7" s="21" t="s">
        <v>1043</v>
      </c>
      <c r="B7">
        <v>524</v>
      </c>
    </row>
    <row r="8" spans="1:2" x14ac:dyDescent="0.25">
      <c r="A8" s="21" t="s">
        <v>1044</v>
      </c>
      <c r="B8">
        <v>237</v>
      </c>
    </row>
    <row r="9" spans="1:2" x14ac:dyDescent="0.25">
      <c r="A9" s="21" t="s">
        <v>1037</v>
      </c>
      <c r="B9">
        <v>1000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CD10D-1A6F-4959-B44C-84A75060A97E}">
  <dimension ref="A3:B41"/>
  <sheetViews>
    <sheetView zoomScale="63" workbookViewId="0">
      <selection activeCell="A32" sqref="A29:A40"/>
    </sheetView>
  </sheetViews>
  <sheetFormatPr defaultRowHeight="13.8" x14ac:dyDescent="0.25"/>
  <cols>
    <col min="1" max="1" width="13.69921875" bestFit="1" customWidth="1"/>
    <col min="2" max="2" width="24.69921875" bestFit="1" customWidth="1"/>
  </cols>
  <sheetData>
    <row r="3" spans="1:2" x14ac:dyDescent="0.25">
      <c r="A3" s="20" t="s">
        <v>1036</v>
      </c>
      <c r="B3" t="s">
        <v>1039</v>
      </c>
    </row>
    <row r="4" spans="1:2" x14ac:dyDescent="0.25">
      <c r="A4" s="21" t="s">
        <v>1045</v>
      </c>
      <c r="B4">
        <v>13</v>
      </c>
    </row>
    <row r="5" spans="1:2" x14ac:dyDescent="0.25">
      <c r="A5" s="21" t="s">
        <v>1046</v>
      </c>
      <c r="B5">
        <v>13</v>
      </c>
    </row>
    <row r="6" spans="1:2" x14ac:dyDescent="0.25">
      <c r="A6" s="21" t="s">
        <v>1047</v>
      </c>
      <c r="B6">
        <v>28</v>
      </c>
    </row>
    <row r="7" spans="1:2" x14ac:dyDescent="0.25">
      <c r="A7" s="21" t="s">
        <v>1048</v>
      </c>
      <c r="B7">
        <v>24</v>
      </c>
    </row>
    <row r="8" spans="1:2" x14ac:dyDescent="0.25">
      <c r="A8" s="21" t="s">
        <v>1054</v>
      </c>
      <c r="B8">
        <v>23</v>
      </c>
    </row>
    <row r="9" spans="1:2" x14ac:dyDescent="0.25">
      <c r="A9" s="21" t="s">
        <v>1055</v>
      </c>
      <c r="B9">
        <v>17</v>
      </c>
    </row>
    <row r="10" spans="1:2" x14ac:dyDescent="0.25">
      <c r="A10" s="21" t="s">
        <v>1049</v>
      </c>
      <c r="B10">
        <v>11</v>
      </c>
    </row>
    <row r="11" spans="1:2" x14ac:dyDescent="0.25">
      <c r="A11" s="21" t="s">
        <v>1050</v>
      </c>
      <c r="B11">
        <v>11</v>
      </c>
    </row>
    <row r="12" spans="1:2" x14ac:dyDescent="0.25">
      <c r="A12" s="21" t="s">
        <v>1051</v>
      </c>
      <c r="B12">
        <v>14</v>
      </c>
    </row>
    <row r="13" spans="1:2" x14ac:dyDescent="0.25">
      <c r="A13" s="21" t="s">
        <v>1052</v>
      </c>
      <c r="B13">
        <v>30</v>
      </c>
    </row>
    <row r="14" spans="1:2" x14ac:dyDescent="0.25">
      <c r="A14" s="21" t="s">
        <v>1053</v>
      </c>
      <c r="B14">
        <v>14</v>
      </c>
    </row>
    <row r="15" spans="1:2" x14ac:dyDescent="0.25">
      <c r="A15" s="21" t="s">
        <v>1056</v>
      </c>
      <c r="B15">
        <v>9</v>
      </c>
    </row>
    <row r="16" spans="1:2" x14ac:dyDescent="0.25">
      <c r="A16" s="21" t="s">
        <v>1037</v>
      </c>
      <c r="B16">
        <v>207</v>
      </c>
    </row>
    <row r="28" spans="1:2" x14ac:dyDescent="0.25">
      <c r="A28" s="20" t="s">
        <v>1036</v>
      </c>
      <c r="B28" t="s">
        <v>1038</v>
      </c>
    </row>
    <row r="29" spans="1:2" x14ac:dyDescent="0.25">
      <c r="A29" s="21" t="s">
        <v>1045</v>
      </c>
      <c r="B29">
        <v>1102</v>
      </c>
    </row>
    <row r="30" spans="1:2" x14ac:dyDescent="0.25">
      <c r="A30" s="21" t="s">
        <v>1046</v>
      </c>
      <c r="B30">
        <v>2333</v>
      </c>
    </row>
    <row r="31" spans="1:2" x14ac:dyDescent="0.25">
      <c r="A31" s="21" t="s">
        <v>1072</v>
      </c>
      <c r="B31">
        <v>4897</v>
      </c>
    </row>
    <row r="32" spans="1:2" x14ac:dyDescent="0.25">
      <c r="A32" s="21" t="s">
        <v>1048</v>
      </c>
      <c r="B32">
        <v>7042</v>
      </c>
    </row>
    <row r="33" spans="1:2" x14ac:dyDescent="0.25">
      <c r="A33" s="21" t="s">
        <v>1054</v>
      </c>
      <c r="B33">
        <v>9385</v>
      </c>
    </row>
    <row r="34" spans="1:2" x14ac:dyDescent="0.25">
      <c r="A34" s="21" t="s">
        <v>1055</v>
      </c>
      <c r="B34">
        <v>11127</v>
      </c>
    </row>
    <row r="35" spans="1:2" x14ac:dyDescent="0.25">
      <c r="A35" s="21" t="s">
        <v>1049</v>
      </c>
      <c r="B35">
        <v>12599</v>
      </c>
    </row>
    <row r="36" spans="1:2" x14ac:dyDescent="0.25">
      <c r="A36" s="21" t="s">
        <v>1050</v>
      </c>
      <c r="B36">
        <v>13583</v>
      </c>
    </row>
    <row r="37" spans="1:2" x14ac:dyDescent="0.25">
      <c r="A37" s="21" t="s">
        <v>1051</v>
      </c>
      <c r="B37">
        <v>14935</v>
      </c>
    </row>
    <row r="38" spans="1:2" x14ac:dyDescent="0.25">
      <c r="A38" s="21" t="s">
        <v>1052</v>
      </c>
      <c r="B38">
        <v>18176</v>
      </c>
    </row>
    <row r="39" spans="1:2" x14ac:dyDescent="0.25">
      <c r="A39" s="21" t="s">
        <v>1053</v>
      </c>
      <c r="B39">
        <v>19803</v>
      </c>
    </row>
    <row r="40" spans="1:2" x14ac:dyDescent="0.25">
      <c r="A40" s="21" t="s">
        <v>1056</v>
      </c>
      <c r="B40">
        <v>20872</v>
      </c>
    </row>
    <row r="41" spans="1:2" x14ac:dyDescent="0.25">
      <c r="A41" s="21" t="s">
        <v>1037</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F3CB3-69CD-4695-8736-B42343E6D589}">
  <dimension ref="A1:H1003"/>
  <sheetViews>
    <sheetView workbookViewId="0"/>
  </sheetViews>
  <sheetFormatPr defaultRowHeight="13.8" x14ac:dyDescent="0.25"/>
  <cols>
    <col min="1" max="1" width="20.09765625" bestFit="1" customWidth="1"/>
    <col min="2" max="2" width="20.5" bestFit="1" customWidth="1"/>
    <col min="3" max="3" width="17.09765625" bestFit="1" customWidth="1"/>
    <col min="4" max="4" width="22.8984375" bestFit="1" customWidth="1"/>
    <col min="5" max="5" width="19.59765625" bestFit="1" customWidth="1"/>
    <col min="6" max="6" width="25.3984375" bestFit="1" customWidth="1"/>
    <col min="7" max="7" width="27" bestFit="1" customWidth="1"/>
    <col min="8" max="8" width="23.5" bestFit="1" customWidth="1"/>
  </cols>
  <sheetData>
    <row r="1" spans="1:8" x14ac:dyDescent="0.25">
      <c r="A1" s="24" t="s">
        <v>1071</v>
      </c>
    </row>
    <row r="3" spans="1:8" x14ac:dyDescent="0.25">
      <c r="A3" t="s">
        <v>1063</v>
      </c>
      <c r="B3" t="s">
        <v>1064</v>
      </c>
      <c r="C3" t="s">
        <v>1065</v>
      </c>
      <c r="D3" t="s">
        <v>1066</v>
      </c>
      <c r="E3" t="s">
        <v>1067</v>
      </c>
      <c r="F3" t="s">
        <v>1068</v>
      </c>
      <c r="G3" t="s">
        <v>1069</v>
      </c>
      <c r="H3" t="s">
        <v>1070</v>
      </c>
    </row>
    <row r="4" spans="1:8" x14ac:dyDescent="0.25">
      <c r="A4" t="s">
        <v>26</v>
      </c>
      <c r="B4" t="s">
        <v>20</v>
      </c>
      <c r="C4">
        <v>116</v>
      </c>
      <c r="D4" t="s">
        <v>10</v>
      </c>
      <c r="E4" s="23">
        <v>44927</v>
      </c>
      <c r="F4">
        <v>128</v>
      </c>
      <c r="G4">
        <v>4.9000000000000004</v>
      </c>
      <c r="H4">
        <v>5</v>
      </c>
    </row>
    <row r="5" spans="1:8" x14ac:dyDescent="0.25">
      <c r="A5" t="s">
        <v>27</v>
      </c>
      <c r="B5" t="s">
        <v>12</v>
      </c>
      <c r="C5">
        <v>119</v>
      </c>
      <c r="D5" t="s">
        <v>10</v>
      </c>
      <c r="E5" s="23">
        <v>44927</v>
      </c>
      <c r="F5">
        <v>135</v>
      </c>
      <c r="G5">
        <v>2.9</v>
      </c>
      <c r="H5">
        <v>3</v>
      </c>
    </row>
    <row r="6" spans="1:8" x14ac:dyDescent="0.25">
      <c r="A6" t="s">
        <v>28</v>
      </c>
      <c r="B6" t="s">
        <v>23</v>
      </c>
      <c r="C6">
        <v>68</v>
      </c>
      <c r="D6" t="s">
        <v>9</v>
      </c>
      <c r="E6" s="23">
        <v>44927</v>
      </c>
      <c r="F6">
        <v>66</v>
      </c>
      <c r="G6">
        <v>4.7</v>
      </c>
      <c r="H6">
        <v>5</v>
      </c>
    </row>
    <row r="7" spans="1:8" x14ac:dyDescent="0.25">
      <c r="A7" t="s">
        <v>29</v>
      </c>
      <c r="B7" t="s">
        <v>21</v>
      </c>
      <c r="C7">
        <v>119</v>
      </c>
      <c r="D7" t="s">
        <v>9</v>
      </c>
      <c r="E7" s="23">
        <v>44927</v>
      </c>
      <c r="F7">
        <v>22</v>
      </c>
      <c r="G7">
        <v>2.9</v>
      </c>
      <c r="H7">
        <v>3</v>
      </c>
    </row>
    <row r="8" spans="1:8" x14ac:dyDescent="0.25">
      <c r="A8" t="s">
        <v>30</v>
      </c>
      <c r="B8" t="s">
        <v>8</v>
      </c>
      <c r="C8">
        <v>128</v>
      </c>
      <c r="D8" t="s">
        <v>11</v>
      </c>
      <c r="E8" s="23">
        <v>44928</v>
      </c>
      <c r="F8">
        <v>31</v>
      </c>
      <c r="G8">
        <v>2.8</v>
      </c>
      <c r="H8">
        <v>3</v>
      </c>
    </row>
    <row r="9" spans="1:8" x14ac:dyDescent="0.25">
      <c r="A9" t="s">
        <v>31</v>
      </c>
      <c r="B9" t="s">
        <v>8</v>
      </c>
      <c r="C9">
        <v>49</v>
      </c>
      <c r="D9" t="s">
        <v>9</v>
      </c>
      <c r="E9" s="23">
        <v>44929</v>
      </c>
      <c r="F9">
        <v>135</v>
      </c>
      <c r="G9">
        <v>4.8</v>
      </c>
      <c r="H9">
        <v>5</v>
      </c>
    </row>
    <row r="10" spans="1:8" x14ac:dyDescent="0.25">
      <c r="A10" t="s">
        <v>32</v>
      </c>
      <c r="B10" t="s">
        <v>15</v>
      </c>
      <c r="C10">
        <v>84</v>
      </c>
      <c r="D10" t="s">
        <v>10</v>
      </c>
      <c r="E10" s="23">
        <v>44929</v>
      </c>
      <c r="F10">
        <v>60</v>
      </c>
      <c r="G10">
        <v>4.7</v>
      </c>
      <c r="H10">
        <v>5</v>
      </c>
    </row>
    <row r="11" spans="1:8" x14ac:dyDescent="0.25">
      <c r="A11" t="s">
        <v>33</v>
      </c>
      <c r="B11" t="s">
        <v>20</v>
      </c>
      <c r="C11">
        <v>103</v>
      </c>
      <c r="D11" t="s">
        <v>13</v>
      </c>
      <c r="E11" s="23">
        <v>44929</v>
      </c>
      <c r="F11">
        <v>148</v>
      </c>
      <c r="G11">
        <v>4.4000000000000004</v>
      </c>
      <c r="H11">
        <v>4</v>
      </c>
    </row>
    <row r="12" spans="1:8" x14ac:dyDescent="0.25">
      <c r="A12" t="s">
        <v>34</v>
      </c>
      <c r="B12" t="s">
        <v>23</v>
      </c>
      <c r="C12">
        <v>31</v>
      </c>
      <c r="D12" t="s">
        <v>9</v>
      </c>
      <c r="E12" s="23">
        <v>44929</v>
      </c>
      <c r="F12">
        <v>135</v>
      </c>
      <c r="G12">
        <v>3.6</v>
      </c>
      <c r="H12">
        <v>4</v>
      </c>
    </row>
    <row r="13" spans="1:8" x14ac:dyDescent="0.25">
      <c r="A13" t="s">
        <v>35</v>
      </c>
      <c r="B13" t="s">
        <v>18</v>
      </c>
      <c r="C13">
        <v>44</v>
      </c>
      <c r="D13" t="s">
        <v>6</v>
      </c>
      <c r="E13" s="23">
        <v>44929</v>
      </c>
      <c r="F13">
        <v>105</v>
      </c>
      <c r="G13">
        <v>2.9</v>
      </c>
      <c r="H13">
        <v>3</v>
      </c>
    </row>
    <row r="14" spans="1:8" x14ac:dyDescent="0.25">
      <c r="A14" t="s">
        <v>36</v>
      </c>
      <c r="B14" t="s">
        <v>8</v>
      </c>
      <c r="C14">
        <v>102</v>
      </c>
      <c r="D14" t="s">
        <v>9</v>
      </c>
      <c r="E14" s="23">
        <v>44929</v>
      </c>
      <c r="F14">
        <v>69</v>
      </c>
      <c r="G14">
        <v>4.9000000000000004</v>
      </c>
      <c r="H14">
        <v>5</v>
      </c>
    </row>
    <row r="15" spans="1:8" x14ac:dyDescent="0.25">
      <c r="A15" t="s">
        <v>37</v>
      </c>
      <c r="B15" t="s">
        <v>14</v>
      </c>
      <c r="C15">
        <v>135</v>
      </c>
      <c r="D15" t="s">
        <v>10</v>
      </c>
      <c r="E15" s="23">
        <v>44929</v>
      </c>
      <c r="F15">
        <v>46</v>
      </c>
      <c r="G15">
        <v>3.4</v>
      </c>
      <c r="H15">
        <v>3</v>
      </c>
    </row>
    <row r="16" spans="1:8" x14ac:dyDescent="0.25">
      <c r="A16" t="s">
        <v>38</v>
      </c>
      <c r="B16" t="s">
        <v>24</v>
      </c>
      <c r="C16">
        <v>98</v>
      </c>
      <c r="D16" t="s">
        <v>9</v>
      </c>
      <c r="E16" s="23">
        <v>44930</v>
      </c>
      <c r="F16">
        <v>108</v>
      </c>
      <c r="G16">
        <v>3.5</v>
      </c>
      <c r="H16">
        <v>4</v>
      </c>
    </row>
    <row r="17" spans="1:8" x14ac:dyDescent="0.25">
      <c r="A17" t="s">
        <v>39</v>
      </c>
      <c r="B17" t="s">
        <v>18</v>
      </c>
      <c r="C17">
        <v>139</v>
      </c>
      <c r="D17" t="s">
        <v>9</v>
      </c>
      <c r="E17" s="23">
        <v>44930</v>
      </c>
      <c r="F17">
        <v>96</v>
      </c>
      <c r="G17">
        <v>4</v>
      </c>
      <c r="H17">
        <v>4</v>
      </c>
    </row>
    <row r="18" spans="1:8" x14ac:dyDescent="0.25">
      <c r="A18" t="s">
        <v>40</v>
      </c>
      <c r="B18" t="s">
        <v>14</v>
      </c>
      <c r="C18">
        <v>48</v>
      </c>
      <c r="D18" t="s">
        <v>11</v>
      </c>
      <c r="E18" s="23">
        <v>44930</v>
      </c>
      <c r="F18">
        <v>68</v>
      </c>
      <c r="G18">
        <v>4.9000000000000004</v>
      </c>
      <c r="H18">
        <v>5</v>
      </c>
    </row>
    <row r="19" spans="1:8" x14ac:dyDescent="0.25">
      <c r="A19" t="s">
        <v>41</v>
      </c>
      <c r="B19" t="s">
        <v>18</v>
      </c>
      <c r="C19">
        <v>176</v>
      </c>
      <c r="D19" t="s">
        <v>10</v>
      </c>
      <c r="E19" s="23">
        <v>44931</v>
      </c>
      <c r="F19">
        <v>24</v>
      </c>
      <c r="G19">
        <v>4.8</v>
      </c>
      <c r="H19">
        <v>5</v>
      </c>
    </row>
    <row r="20" spans="1:8" x14ac:dyDescent="0.25">
      <c r="A20" t="s">
        <v>42</v>
      </c>
      <c r="B20" t="s">
        <v>18</v>
      </c>
      <c r="C20">
        <v>99</v>
      </c>
      <c r="D20" t="s">
        <v>11</v>
      </c>
      <c r="E20" s="23">
        <v>44931</v>
      </c>
      <c r="F20">
        <v>195</v>
      </c>
      <c r="G20">
        <v>3.9</v>
      </c>
      <c r="H20">
        <v>4</v>
      </c>
    </row>
    <row r="21" spans="1:8" x14ac:dyDescent="0.25">
      <c r="A21" t="s">
        <v>43</v>
      </c>
      <c r="B21" t="s">
        <v>22</v>
      </c>
      <c r="C21">
        <v>28</v>
      </c>
      <c r="D21" t="s">
        <v>6</v>
      </c>
      <c r="E21" s="23">
        <v>44931</v>
      </c>
      <c r="F21">
        <v>28</v>
      </c>
      <c r="G21">
        <v>3.8</v>
      </c>
      <c r="H21">
        <v>4</v>
      </c>
    </row>
    <row r="22" spans="1:8" x14ac:dyDescent="0.25">
      <c r="A22" t="s">
        <v>44</v>
      </c>
      <c r="B22" t="s">
        <v>15</v>
      </c>
      <c r="C22">
        <v>54</v>
      </c>
      <c r="D22" t="s">
        <v>9</v>
      </c>
      <c r="E22" s="23">
        <v>44931</v>
      </c>
      <c r="F22">
        <v>170</v>
      </c>
      <c r="G22">
        <v>4.3</v>
      </c>
      <c r="H22">
        <v>4</v>
      </c>
    </row>
    <row r="23" spans="1:8" x14ac:dyDescent="0.25">
      <c r="A23" t="s">
        <v>45</v>
      </c>
      <c r="B23" t="s">
        <v>7</v>
      </c>
      <c r="C23">
        <v>48</v>
      </c>
      <c r="D23" t="s">
        <v>10</v>
      </c>
      <c r="E23" s="23">
        <v>44932</v>
      </c>
      <c r="F23">
        <v>30</v>
      </c>
      <c r="G23">
        <v>4.4000000000000004</v>
      </c>
      <c r="H23">
        <v>4</v>
      </c>
    </row>
    <row r="24" spans="1:8" x14ac:dyDescent="0.25">
      <c r="A24" t="s">
        <v>46</v>
      </c>
      <c r="B24" t="s">
        <v>12</v>
      </c>
      <c r="C24">
        <v>128</v>
      </c>
      <c r="D24" t="s">
        <v>10</v>
      </c>
      <c r="E24" s="23">
        <v>44932</v>
      </c>
      <c r="F24">
        <v>72</v>
      </c>
      <c r="G24">
        <v>5</v>
      </c>
      <c r="H24">
        <v>5</v>
      </c>
    </row>
    <row r="25" spans="1:8" x14ac:dyDescent="0.25">
      <c r="A25" t="s">
        <v>47</v>
      </c>
      <c r="B25" t="s">
        <v>12</v>
      </c>
      <c r="C25">
        <v>38</v>
      </c>
      <c r="D25" t="s">
        <v>13</v>
      </c>
      <c r="E25" s="23">
        <v>44933</v>
      </c>
      <c r="F25">
        <v>92</v>
      </c>
      <c r="G25">
        <v>4.9000000000000004</v>
      </c>
      <c r="H25">
        <v>5</v>
      </c>
    </row>
    <row r="26" spans="1:8" x14ac:dyDescent="0.25">
      <c r="A26" t="s">
        <v>48</v>
      </c>
      <c r="B26" t="s">
        <v>20</v>
      </c>
      <c r="C26">
        <v>67</v>
      </c>
      <c r="D26" t="s">
        <v>13</v>
      </c>
      <c r="E26" s="23">
        <v>44934</v>
      </c>
      <c r="F26">
        <v>165</v>
      </c>
      <c r="G26">
        <v>4.5</v>
      </c>
      <c r="H26">
        <v>5</v>
      </c>
    </row>
    <row r="27" spans="1:8" x14ac:dyDescent="0.25">
      <c r="A27" t="s">
        <v>49</v>
      </c>
      <c r="B27" t="s">
        <v>19</v>
      </c>
      <c r="C27">
        <v>58</v>
      </c>
      <c r="D27" t="s">
        <v>9</v>
      </c>
      <c r="E27" s="23">
        <v>44934</v>
      </c>
      <c r="F27">
        <v>140</v>
      </c>
      <c r="G27">
        <v>2.1</v>
      </c>
      <c r="H27">
        <v>2</v>
      </c>
    </row>
    <row r="28" spans="1:8" x14ac:dyDescent="0.25">
      <c r="A28" t="s">
        <v>50</v>
      </c>
      <c r="B28" t="s">
        <v>18</v>
      </c>
      <c r="C28">
        <v>54</v>
      </c>
      <c r="D28" t="s">
        <v>11</v>
      </c>
      <c r="E28" s="23">
        <v>44934</v>
      </c>
      <c r="F28">
        <v>111</v>
      </c>
      <c r="G28">
        <v>3.3</v>
      </c>
      <c r="H28">
        <v>3</v>
      </c>
    </row>
    <row r="29" spans="1:8" x14ac:dyDescent="0.25">
      <c r="A29" t="s">
        <v>51</v>
      </c>
      <c r="B29" t="s">
        <v>16</v>
      </c>
      <c r="C29">
        <v>28</v>
      </c>
      <c r="D29" t="s">
        <v>10</v>
      </c>
      <c r="E29" s="23">
        <v>44935</v>
      </c>
      <c r="F29">
        <v>63</v>
      </c>
      <c r="G29">
        <v>4.0999999999999996</v>
      </c>
      <c r="H29">
        <v>4</v>
      </c>
    </row>
    <row r="30" spans="1:8" x14ac:dyDescent="0.25">
      <c r="A30" t="s">
        <v>52</v>
      </c>
      <c r="B30" t="s">
        <v>24</v>
      </c>
      <c r="C30">
        <v>73</v>
      </c>
      <c r="D30" t="s">
        <v>10</v>
      </c>
      <c r="E30" s="23">
        <v>44935</v>
      </c>
      <c r="F30">
        <v>80</v>
      </c>
      <c r="G30">
        <v>4.2</v>
      </c>
      <c r="H30">
        <v>4</v>
      </c>
    </row>
    <row r="31" spans="1:8" x14ac:dyDescent="0.25">
      <c r="A31" t="s">
        <v>53</v>
      </c>
      <c r="B31" t="s">
        <v>8</v>
      </c>
      <c r="C31">
        <v>81</v>
      </c>
      <c r="D31" t="s">
        <v>10</v>
      </c>
      <c r="E31" s="23">
        <v>44936</v>
      </c>
      <c r="F31">
        <v>50</v>
      </c>
      <c r="G31">
        <v>4.5999999999999996</v>
      </c>
      <c r="H31">
        <v>5</v>
      </c>
    </row>
    <row r="32" spans="1:8" x14ac:dyDescent="0.25">
      <c r="A32" t="s">
        <v>54</v>
      </c>
      <c r="B32" t="s">
        <v>22</v>
      </c>
      <c r="C32">
        <v>31</v>
      </c>
      <c r="D32" t="s">
        <v>13</v>
      </c>
      <c r="E32" s="23">
        <v>44936</v>
      </c>
      <c r="F32">
        <v>123</v>
      </c>
      <c r="G32">
        <v>2.9</v>
      </c>
      <c r="H32">
        <v>3</v>
      </c>
    </row>
    <row r="33" spans="1:8" x14ac:dyDescent="0.25">
      <c r="A33" t="s">
        <v>55</v>
      </c>
      <c r="B33" t="s">
        <v>19</v>
      </c>
      <c r="C33">
        <v>155</v>
      </c>
      <c r="D33" t="s">
        <v>11</v>
      </c>
      <c r="E33" s="23">
        <v>44936</v>
      </c>
      <c r="F33">
        <v>110</v>
      </c>
      <c r="G33">
        <v>4.8</v>
      </c>
      <c r="H33">
        <v>5</v>
      </c>
    </row>
    <row r="34" spans="1:8" x14ac:dyDescent="0.25">
      <c r="A34" t="s">
        <v>56</v>
      </c>
      <c r="B34" t="s">
        <v>22</v>
      </c>
      <c r="C34">
        <v>80</v>
      </c>
      <c r="D34" t="s">
        <v>10</v>
      </c>
      <c r="E34" s="23">
        <v>44936</v>
      </c>
      <c r="F34">
        <v>140</v>
      </c>
      <c r="G34">
        <v>4.2</v>
      </c>
      <c r="H34">
        <v>4</v>
      </c>
    </row>
    <row r="35" spans="1:8" x14ac:dyDescent="0.25">
      <c r="A35" t="s">
        <v>57</v>
      </c>
      <c r="B35" t="s">
        <v>8</v>
      </c>
      <c r="C35">
        <v>82</v>
      </c>
      <c r="D35" t="s">
        <v>10</v>
      </c>
      <c r="E35" s="23">
        <v>44938</v>
      </c>
      <c r="F35">
        <v>42</v>
      </c>
      <c r="G35">
        <v>3.7</v>
      </c>
      <c r="H35">
        <v>4</v>
      </c>
    </row>
    <row r="36" spans="1:8" x14ac:dyDescent="0.25">
      <c r="A36" t="s">
        <v>58</v>
      </c>
      <c r="B36" t="s">
        <v>8</v>
      </c>
      <c r="C36">
        <v>29</v>
      </c>
      <c r="D36" t="s">
        <v>11</v>
      </c>
      <c r="E36" s="23">
        <v>44938</v>
      </c>
      <c r="F36">
        <v>170</v>
      </c>
      <c r="G36">
        <v>5</v>
      </c>
      <c r="H36">
        <v>5</v>
      </c>
    </row>
    <row r="37" spans="1:8" x14ac:dyDescent="0.25">
      <c r="A37" t="s">
        <v>59</v>
      </c>
      <c r="B37" t="s">
        <v>7</v>
      </c>
      <c r="C37">
        <v>160</v>
      </c>
      <c r="D37" t="s">
        <v>9</v>
      </c>
      <c r="E37" s="23">
        <v>44940</v>
      </c>
      <c r="F37">
        <v>105</v>
      </c>
      <c r="G37">
        <v>5</v>
      </c>
      <c r="H37">
        <v>5</v>
      </c>
    </row>
    <row r="38" spans="1:8" x14ac:dyDescent="0.25">
      <c r="A38" t="s">
        <v>60</v>
      </c>
      <c r="B38" t="s">
        <v>17</v>
      </c>
      <c r="C38">
        <v>105</v>
      </c>
      <c r="D38" t="s">
        <v>10</v>
      </c>
      <c r="E38" s="23">
        <v>44941</v>
      </c>
      <c r="F38">
        <v>125</v>
      </c>
      <c r="G38">
        <v>4.8</v>
      </c>
      <c r="H38">
        <v>5</v>
      </c>
    </row>
    <row r="39" spans="1:8" x14ac:dyDescent="0.25">
      <c r="A39" t="s">
        <v>61</v>
      </c>
      <c r="B39" t="s">
        <v>22</v>
      </c>
      <c r="C39">
        <v>75</v>
      </c>
      <c r="D39" t="s">
        <v>6</v>
      </c>
      <c r="E39" s="23">
        <v>44941</v>
      </c>
      <c r="F39">
        <v>26</v>
      </c>
      <c r="G39">
        <v>2.4</v>
      </c>
      <c r="H39">
        <v>2</v>
      </c>
    </row>
    <row r="40" spans="1:8" x14ac:dyDescent="0.25">
      <c r="A40" t="s">
        <v>62</v>
      </c>
      <c r="B40" t="s">
        <v>19</v>
      </c>
      <c r="C40">
        <v>94</v>
      </c>
      <c r="D40" t="s">
        <v>6</v>
      </c>
      <c r="E40" s="23">
        <v>44942</v>
      </c>
      <c r="F40">
        <v>120</v>
      </c>
      <c r="G40">
        <v>3.1</v>
      </c>
      <c r="H40">
        <v>3</v>
      </c>
    </row>
    <row r="41" spans="1:8" x14ac:dyDescent="0.25">
      <c r="A41" t="s">
        <v>63</v>
      </c>
      <c r="B41" t="s">
        <v>12</v>
      </c>
      <c r="C41">
        <v>90</v>
      </c>
      <c r="D41" t="s">
        <v>9</v>
      </c>
      <c r="E41" s="23">
        <v>44942</v>
      </c>
      <c r="F41">
        <v>132</v>
      </c>
      <c r="G41">
        <v>3.2</v>
      </c>
      <c r="H41">
        <v>3</v>
      </c>
    </row>
    <row r="42" spans="1:8" x14ac:dyDescent="0.25">
      <c r="A42" t="s">
        <v>64</v>
      </c>
      <c r="B42" t="s">
        <v>19</v>
      </c>
      <c r="C42">
        <v>81</v>
      </c>
      <c r="D42" t="s">
        <v>13</v>
      </c>
      <c r="E42" s="23">
        <v>44943</v>
      </c>
      <c r="F42">
        <v>86</v>
      </c>
      <c r="G42">
        <v>2.4</v>
      </c>
      <c r="H42">
        <v>2</v>
      </c>
    </row>
    <row r="43" spans="1:8" x14ac:dyDescent="0.25">
      <c r="A43" t="s">
        <v>65</v>
      </c>
      <c r="B43" t="s">
        <v>22</v>
      </c>
      <c r="C43">
        <v>106</v>
      </c>
      <c r="D43" t="s">
        <v>10</v>
      </c>
      <c r="E43" s="23">
        <v>44943</v>
      </c>
      <c r="F43">
        <v>108</v>
      </c>
      <c r="G43">
        <v>5</v>
      </c>
      <c r="H43">
        <v>5</v>
      </c>
    </row>
    <row r="44" spans="1:8" x14ac:dyDescent="0.25">
      <c r="A44" t="s">
        <v>66</v>
      </c>
      <c r="B44" t="s">
        <v>12</v>
      </c>
      <c r="C44">
        <v>74</v>
      </c>
      <c r="D44" t="s">
        <v>13</v>
      </c>
      <c r="E44" s="23">
        <v>44943</v>
      </c>
      <c r="F44">
        <v>96</v>
      </c>
      <c r="G44">
        <v>4.7</v>
      </c>
      <c r="H44">
        <v>5</v>
      </c>
    </row>
    <row r="45" spans="1:8" x14ac:dyDescent="0.25">
      <c r="A45" t="s">
        <v>67</v>
      </c>
      <c r="B45" t="s">
        <v>18</v>
      </c>
      <c r="C45">
        <v>105</v>
      </c>
      <c r="D45" t="s">
        <v>9</v>
      </c>
      <c r="E45" s="23">
        <v>44944</v>
      </c>
      <c r="F45">
        <v>80</v>
      </c>
      <c r="G45">
        <v>4.7</v>
      </c>
      <c r="H45">
        <v>5</v>
      </c>
    </row>
    <row r="46" spans="1:8" x14ac:dyDescent="0.25">
      <c r="A46" t="s">
        <v>68</v>
      </c>
      <c r="B46" t="s">
        <v>22</v>
      </c>
      <c r="C46">
        <v>89</v>
      </c>
      <c r="D46" t="s">
        <v>10</v>
      </c>
      <c r="E46" s="23">
        <v>44944</v>
      </c>
      <c r="F46">
        <v>155</v>
      </c>
      <c r="G46">
        <v>4.0999999999999996</v>
      </c>
      <c r="H46">
        <v>4</v>
      </c>
    </row>
    <row r="47" spans="1:8" x14ac:dyDescent="0.25">
      <c r="A47" t="s">
        <v>69</v>
      </c>
      <c r="B47" t="s">
        <v>14</v>
      </c>
      <c r="C47">
        <v>132</v>
      </c>
      <c r="D47" t="s">
        <v>6</v>
      </c>
      <c r="E47" s="23">
        <v>44944</v>
      </c>
      <c r="F47">
        <v>168</v>
      </c>
      <c r="G47">
        <v>4.0999999999999996</v>
      </c>
      <c r="H47">
        <v>4</v>
      </c>
    </row>
    <row r="48" spans="1:8" x14ac:dyDescent="0.25">
      <c r="A48" t="s">
        <v>70</v>
      </c>
      <c r="B48" t="s">
        <v>17</v>
      </c>
      <c r="C48">
        <v>105</v>
      </c>
      <c r="D48" t="s">
        <v>11</v>
      </c>
      <c r="E48" s="23">
        <v>44944</v>
      </c>
      <c r="F48">
        <v>56</v>
      </c>
      <c r="G48">
        <v>3.6</v>
      </c>
      <c r="H48">
        <v>4</v>
      </c>
    </row>
    <row r="49" spans="1:8" x14ac:dyDescent="0.25">
      <c r="A49" t="s">
        <v>71</v>
      </c>
      <c r="B49" t="s">
        <v>8</v>
      </c>
      <c r="C49">
        <v>13</v>
      </c>
      <c r="D49" t="s">
        <v>6</v>
      </c>
      <c r="E49" s="23">
        <v>44945</v>
      </c>
      <c r="F49">
        <v>32</v>
      </c>
      <c r="G49">
        <v>4.4000000000000004</v>
      </c>
      <c r="H49">
        <v>4</v>
      </c>
    </row>
    <row r="50" spans="1:8" x14ac:dyDescent="0.25">
      <c r="A50" t="s">
        <v>72</v>
      </c>
      <c r="B50" t="s">
        <v>21</v>
      </c>
      <c r="C50">
        <v>131</v>
      </c>
      <c r="D50" t="s">
        <v>11</v>
      </c>
      <c r="E50" s="23">
        <v>44945</v>
      </c>
      <c r="F50">
        <v>78</v>
      </c>
      <c r="G50">
        <v>4.4000000000000004</v>
      </c>
      <c r="H50">
        <v>4</v>
      </c>
    </row>
    <row r="51" spans="1:8" x14ac:dyDescent="0.25">
      <c r="A51" t="s">
        <v>73</v>
      </c>
      <c r="B51" t="s">
        <v>12</v>
      </c>
      <c r="C51">
        <v>104</v>
      </c>
      <c r="D51" t="s">
        <v>10</v>
      </c>
      <c r="E51" s="23">
        <v>44945</v>
      </c>
      <c r="F51">
        <v>86</v>
      </c>
      <c r="G51">
        <v>4</v>
      </c>
      <c r="H51">
        <v>4</v>
      </c>
    </row>
    <row r="52" spans="1:8" x14ac:dyDescent="0.25">
      <c r="A52" t="s">
        <v>74</v>
      </c>
      <c r="B52" t="s">
        <v>20</v>
      </c>
      <c r="C52">
        <v>90</v>
      </c>
      <c r="D52" t="s">
        <v>9</v>
      </c>
      <c r="E52" s="23">
        <v>44946</v>
      </c>
      <c r="F52">
        <v>64</v>
      </c>
      <c r="G52">
        <v>3.8</v>
      </c>
      <c r="H52">
        <v>4</v>
      </c>
    </row>
    <row r="53" spans="1:8" x14ac:dyDescent="0.25">
      <c r="A53" t="s">
        <v>75</v>
      </c>
      <c r="B53" t="s">
        <v>16</v>
      </c>
      <c r="C53">
        <v>37</v>
      </c>
      <c r="D53" t="s">
        <v>9</v>
      </c>
      <c r="E53" s="23">
        <v>44946</v>
      </c>
      <c r="F53">
        <v>96</v>
      </c>
      <c r="G53">
        <v>3.6</v>
      </c>
      <c r="H53">
        <v>4</v>
      </c>
    </row>
    <row r="54" spans="1:8" x14ac:dyDescent="0.25">
      <c r="A54" t="s">
        <v>76</v>
      </c>
      <c r="B54" t="s">
        <v>24</v>
      </c>
      <c r="C54">
        <v>149</v>
      </c>
      <c r="D54" t="s">
        <v>11</v>
      </c>
      <c r="E54" s="23">
        <v>44946</v>
      </c>
      <c r="F54">
        <v>72</v>
      </c>
      <c r="G54">
        <v>4.3</v>
      </c>
      <c r="H54">
        <v>4</v>
      </c>
    </row>
    <row r="55" spans="1:8" x14ac:dyDescent="0.25">
      <c r="A55" t="s">
        <v>77</v>
      </c>
      <c r="B55" t="s">
        <v>14</v>
      </c>
      <c r="C55">
        <v>100</v>
      </c>
      <c r="D55" t="s">
        <v>13</v>
      </c>
      <c r="E55" s="23">
        <v>44947</v>
      </c>
      <c r="F55">
        <v>135</v>
      </c>
      <c r="G55">
        <v>3.8</v>
      </c>
      <c r="H55">
        <v>4</v>
      </c>
    </row>
    <row r="56" spans="1:8" x14ac:dyDescent="0.25">
      <c r="A56" t="s">
        <v>78</v>
      </c>
      <c r="B56" t="s">
        <v>14</v>
      </c>
      <c r="C56">
        <v>79</v>
      </c>
      <c r="D56" t="s">
        <v>6</v>
      </c>
      <c r="E56" s="23">
        <v>44947</v>
      </c>
      <c r="F56">
        <v>140</v>
      </c>
      <c r="G56">
        <v>4.5</v>
      </c>
      <c r="H56">
        <v>5</v>
      </c>
    </row>
    <row r="57" spans="1:8" x14ac:dyDescent="0.25">
      <c r="A57" t="s">
        <v>79</v>
      </c>
      <c r="B57" t="s">
        <v>5</v>
      </c>
      <c r="C57">
        <v>157</v>
      </c>
      <c r="D57" t="s">
        <v>11</v>
      </c>
      <c r="E57" s="23">
        <v>44947</v>
      </c>
      <c r="F57">
        <v>69</v>
      </c>
      <c r="G57">
        <v>4.5</v>
      </c>
      <c r="H57">
        <v>5</v>
      </c>
    </row>
    <row r="58" spans="1:8" x14ac:dyDescent="0.25">
      <c r="A58" t="s">
        <v>80</v>
      </c>
      <c r="B58" t="s">
        <v>14</v>
      </c>
      <c r="C58">
        <v>59</v>
      </c>
      <c r="D58" t="s">
        <v>10</v>
      </c>
      <c r="E58" s="23">
        <v>44948</v>
      </c>
      <c r="F58">
        <v>136</v>
      </c>
      <c r="G58">
        <v>4.5999999999999996</v>
      </c>
      <c r="H58">
        <v>5</v>
      </c>
    </row>
    <row r="59" spans="1:8" x14ac:dyDescent="0.25">
      <c r="A59" t="s">
        <v>81</v>
      </c>
      <c r="B59" t="s">
        <v>16</v>
      </c>
      <c r="C59">
        <v>83</v>
      </c>
      <c r="D59" t="s">
        <v>11</v>
      </c>
      <c r="E59" s="23">
        <v>44948</v>
      </c>
      <c r="F59">
        <v>28</v>
      </c>
      <c r="G59">
        <v>4.5</v>
      </c>
      <c r="H59">
        <v>5</v>
      </c>
    </row>
    <row r="60" spans="1:8" x14ac:dyDescent="0.25">
      <c r="A60" t="s">
        <v>82</v>
      </c>
      <c r="B60" t="s">
        <v>5</v>
      </c>
      <c r="C60">
        <v>58</v>
      </c>
      <c r="D60" t="s">
        <v>9</v>
      </c>
      <c r="E60" s="23">
        <v>44949</v>
      </c>
      <c r="F60">
        <v>135</v>
      </c>
      <c r="G60">
        <v>3.3</v>
      </c>
      <c r="H60">
        <v>3</v>
      </c>
    </row>
    <row r="61" spans="1:8" x14ac:dyDescent="0.25">
      <c r="A61" t="s">
        <v>83</v>
      </c>
      <c r="B61" t="s">
        <v>19</v>
      </c>
      <c r="C61">
        <v>118</v>
      </c>
      <c r="D61" t="s">
        <v>9</v>
      </c>
      <c r="E61" s="23">
        <v>44949</v>
      </c>
      <c r="F61">
        <v>126</v>
      </c>
      <c r="G61">
        <v>2.2999999999999998</v>
      </c>
      <c r="H61">
        <v>2</v>
      </c>
    </row>
    <row r="62" spans="1:8" x14ac:dyDescent="0.25">
      <c r="A62" t="s">
        <v>84</v>
      </c>
      <c r="B62" t="s">
        <v>8</v>
      </c>
      <c r="C62">
        <v>63</v>
      </c>
      <c r="D62" t="s">
        <v>10</v>
      </c>
      <c r="E62" s="23">
        <v>44949</v>
      </c>
      <c r="F62">
        <v>160</v>
      </c>
      <c r="G62">
        <v>4.3</v>
      </c>
      <c r="H62">
        <v>4</v>
      </c>
    </row>
    <row r="63" spans="1:8" x14ac:dyDescent="0.25">
      <c r="A63" t="s">
        <v>85</v>
      </c>
      <c r="B63" t="s">
        <v>5</v>
      </c>
      <c r="C63">
        <v>95</v>
      </c>
      <c r="D63" t="s">
        <v>9</v>
      </c>
      <c r="E63" s="23">
        <v>44950</v>
      </c>
      <c r="F63">
        <v>48</v>
      </c>
      <c r="G63">
        <v>4.5999999999999996</v>
      </c>
      <c r="H63">
        <v>5</v>
      </c>
    </row>
    <row r="64" spans="1:8" x14ac:dyDescent="0.25">
      <c r="A64" t="s">
        <v>86</v>
      </c>
      <c r="B64" t="s">
        <v>14</v>
      </c>
      <c r="C64">
        <v>74</v>
      </c>
      <c r="D64" t="s">
        <v>11</v>
      </c>
      <c r="E64" s="23">
        <v>44950</v>
      </c>
      <c r="F64">
        <v>66</v>
      </c>
      <c r="G64">
        <v>4</v>
      </c>
      <c r="H64">
        <v>4</v>
      </c>
    </row>
    <row r="65" spans="1:8" x14ac:dyDescent="0.25">
      <c r="A65" t="s">
        <v>87</v>
      </c>
      <c r="B65" t="s">
        <v>18</v>
      </c>
      <c r="C65">
        <v>130</v>
      </c>
      <c r="D65" t="s">
        <v>13</v>
      </c>
      <c r="E65" s="23">
        <v>44950</v>
      </c>
      <c r="F65">
        <v>126</v>
      </c>
      <c r="G65">
        <v>2.5</v>
      </c>
      <c r="H65">
        <v>3</v>
      </c>
    </row>
    <row r="66" spans="1:8" x14ac:dyDescent="0.25">
      <c r="A66" t="s">
        <v>88</v>
      </c>
      <c r="B66" t="s">
        <v>19</v>
      </c>
      <c r="C66">
        <v>110</v>
      </c>
      <c r="D66" t="s">
        <v>6</v>
      </c>
      <c r="E66" s="23">
        <v>44950</v>
      </c>
      <c r="F66">
        <v>96</v>
      </c>
      <c r="G66">
        <v>5</v>
      </c>
      <c r="H66">
        <v>5</v>
      </c>
    </row>
    <row r="67" spans="1:8" x14ac:dyDescent="0.25">
      <c r="A67" t="s">
        <v>89</v>
      </c>
      <c r="B67" t="s">
        <v>14</v>
      </c>
      <c r="C67">
        <v>71</v>
      </c>
      <c r="D67" t="s">
        <v>10</v>
      </c>
      <c r="E67" s="23">
        <v>44951</v>
      </c>
      <c r="F67">
        <v>90</v>
      </c>
      <c r="G67">
        <v>3.8</v>
      </c>
      <c r="H67">
        <v>4</v>
      </c>
    </row>
    <row r="68" spans="1:8" x14ac:dyDescent="0.25">
      <c r="A68" t="s">
        <v>90</v>
      </c>
      <c r="B68" t="s">
        <v>17</v>
      </c>
      <c r="C68">
        <v>147</v>
      </c>
      <c r="D68" t="s">
        <v>13</v>
      </c>
      <c r="E68" s="23">
        <v>44951</v>
      </c>
      <c r="F68">
        <v>105</v>
      </c>
      <c r="G68">
        <v>4.4000000000000004</v>
      </c>
      <c r="H68">
        <v>4</v>
      </c>
    </row>
    <row r="69" spans="1:8" x14ac:dyDescent="0.25">
      <c r="A69" t="s">
        <v>91</v>
      </c>
      <c r="B69" t="s">
        <v>12</v>
      </c>
      <c r="C69">
        <v>69</v>
      </c>
      <c r="D69" t="s">
        <v>9</v>
      </c>
      <c r="E69" s="23">
        <v>44952</v>
      </c>
      <c r="F69">
        <v>40</v>
      </c>
      <c r="G69">
        <v>3.8</v>
      </c>
      <c r="H69">
        <v>4</v>
      </c>
    </row>
    <row r="70" spans="1:8" x14ac:dyDescent="0.25">
      <c r="A70" t="s">
        <v>92</v>
      </c>
      <c r="B70" t="s">
        <v>19</v>
      </c>
      <c r="C70">
        <v>50</v>
      </c>
      <c r="D70" t="s">
        <v>10</v>
      </c>
      <c r="E70" s="23">
        <v>44952</v>
      </c>
      <c r="F70">
        <v>60</v>
      </c>
      <c r="G70">
        <v>2</v>
      </c>
      <c r="H70">
        <v>2</v>
      </c>
    </row>
    <row r="71" spans="1:8" x14ac:dyDescent="0.25">
      <c r="A71" t="s">
        <v>93</v>
      </c>
      <c r="B71" t="s">
        <v>18</v>
      </c>
      <c r="C71">
        <v>124</v>
      </c>
      <c r="D71" t="s">
        <v>13</v>
      </c>
      <c r="E71" s="23">
        <v>44953</v>
      </c>
      <c r="F71">
        <v>215</v>
      </c>
      <c r="G71">
        <v>4.0999999999999996</v>
      </c>
      <c r="H71">
        <v>4</v>
      </c>
    </row>
    <row r="72" spans="1:8" x14ac:dyDescent="0.25">
      <c r="A72" t="s">
        <v>94</v>
      </c>
      <c r="B72" t="s">
        <v>23</v>
      </c>
      <c r="C72">
        <v>81</v>
      </c>
      <c r="D72" t="s">
        <v>11</v>
      </c>
      <c r="E72" s="23">
        <v>44953</v>
      </c>
      <c r="F72">
        <v>156</v>
      </c>
      <c r="G72">
        <v>2.6</v>
      </c>
      <c r="H72">
        <v>3</v>
      </c>
    </row>
    <row r="73" spans="1:8" x14ac:dyDescent="0.25">
      <c r="A73" t="s">
        <v>95</v>
      </c>
      <c r="B73" t="s">
        <v>7</v>
      </c>
      <c r="C73">
        <v>141</v>
      </c>
      <c r="D73" t="s">
        <v>6</v>
      </c>
      <c r="E73" s="23">
        <v>44953</v>
      </c>
      <c r="F73">
        <v>54</v>
      </c>
      <c r="G73">
        <v>0</v>
      </c>
      <c r="H73">
        <v>0</v>
      </c>
    </row>
    <row r="74" spans="1:8" x14ac:dyDescent="0.25">
      <c r="A74" t="s">
        <v>96</v>
      </c>
      <c r="B74" t="s">
        <v>7</v>
      </c>
      <c r="C74">
        <v>168</v>
      </c>
      <c r="D74" t="s">
        <v>6</v>
      </c>
      <c r="E74" s="23">
        <v>44954</v>
      </c>
      <c r="F74">
        <v>160</v>
      </c>
      <c r="G74">
        <v>3.9</v>
      </c>
      <c r="H74">
        <v>4</v>
      </c>
    </row>
    <row r="75" spans="1:8" x14ac:dyDescent="0.25">
      <c r="A75" t="s">
        <v>97</v>
      </c>
      <c r="B75" t="s">
        <v>17</v>
      </c>
      <c r="C75">
        <v>101</v>
      </c>
      <c r="D75" t="s">
        <v>11</v>
      </c>
      <c r="E75" s="23">
        <v>44954</v>
      </c>
      <c r="F75">
        <v>80</v>
      </c>
      <c r="G75">
        <v>4.8</v>
      </c>
      <c r="H75">
        <v>5</v>
      </c>
    </row>
    <row r="76" spans="1:8" x14ac:dyDescent="0.25">
      <c r="A76" t="s">
        <v>98</v>
      </c>
      <c r="B76" t="s">
        <v>14</v>
      </c>
      <c r="C76">
        <v>67</v>
      </c>
      <c r="D76" t="s">
        <v>11</v>
      </c>
      <c r="E76" s="23">
        <v>44954</v>
      </c>
      <c r="F76">
        <v>168</v>
      </c>
      <c r="G76">
        <v>2.6</v>
      </c>
      <c r="H76">
        <v>3</v>
      </c>
    </row>
    <row r="77" spans="1:8" x14ac:dyDescent="0.25">
      <c r="A77" t="s">
        <v>99</v>
      </c>
      <c r="B77" t="s">
        <v>5</v>
      </c>
      <c r="C77">
        <v>114</v>
      </c>
      <c r="D77" t="s">
        <v>6</v>
      </c>
      <c r="E77" s="23">
        <v>44956</v>
      </c>
      <c r="F77">
        <v>42</v>
      </c>
      <c r="G77">
        <v>2.6</v>
      </c>
      <c r="H77">
        <v>3</v>
      </c>
    </row>
    <row r="78" spans="1:8" x14ac:dyDescent="0.25">
      <c r="A78" t="s">
        <v>100</v>
      </c>
      <c r="B78" t="s">
        <v>23</v>
      </c>
      <c r="C78">
        <v>42</v>
      </c>
      <c r="D78" t="s">
        <v>11</v>
      </c>
      <c r="E78" s="23">
        <v>44956</v>
      </c>
      <c r="F78">
        <v>205</v>
      </c>
      <c r="G78">
        <v>3.6</v>
      </c>
      <c r="H78">
        <v>4</v>
      </c>
    </row>
    <row r="79" spans="1:8" x14ac:dyDescent="0.25">
      <c r="A79" t="s">
        <v>101</v>
      </c>
      <c r="B79" t="s">
        <v>8</v>
      </c>
      <c r="C79">
        <v>69</v>
      </c>
      <c r="D79" t="s">
        <v>6</v>
      </c>
      <c r="E79" s="23">
        <v>44956</v>
      </c>
      <c r="F79">
        <v>108</v>
      </c>
      <c r="G79">
        <v>3.3</v>
      </c>
      <c r="H79">
        <v>3</v>
      </c>
    </row>
    <row r="80" spans="1:8" x14ac:dyDescent="0.25">
      <c r="A80" t="s">
        <v>102</v>
      </c>
      <c r="B80" t="s">
        <v>18</v>
      </c>
      <c r="C80">
        <v>145</v>
      </c>
      <c r="D80" t="s">
        <v>9</v>
      </c>
      <c r="E80" s="23">
        <v>44956</v>
      </c>
      <c r="F80">
        <v>78</v>
      </c>
      <c r="G80">
        <v>1.9</v>
      </c>
      <c r="H80">
        <v>2</v>
      </c>
    </row>
    <row r="81" spans="1:8" x14ac:dyDescent="0.25">
      <c r="A81" t="s">
        <v>103</v>
      </c>
      <c r="B81" t="s">
        <v>12</v>
      </c>
      <c r="C81">
        <v>43</v>
      </c>
      <c r="D81" t="s">
        <v>6</v>
      </c>
      <c r="E81" s="23">
        <v>44956</v>
      </c>
      <c r="F81">
        <v>23</v>
      </c>
      <c r="G81">
        <v>4.9000000000000004</v>
      </c>
      <c r="H81">
        <v>5</v>
      </c>
    </row>
    <row r="82" spans="1:8" x14ac:dyDescent="0.25">
      <c r="A82" t="s">
        <v>104</v>
      </c>
      <c r="B82" t="s">
        <v>8</v>
      </c>
      <c r="C82">
        <v>62</v>
      </c>
      <c r="D82" t="s">
        <v>10</v>
      </c>
      <c r="E82" s="23">
        <v>44957</v>
      </c>
      <c r="F82">
        <v>99</v>
      </c>
      <c r="G82">
        <v>3.6</v>
      </c>
      <c r="H82">
        <v>4</v>
      </c>
    </row>
    <row r="83" spans="1:8" x14ac:dyDescent="0.25">
      <c r="A83" t="s">
        <v>105</v>
      </c>
      <c r="B83" t="s">
        <v>22</v>
      </c>
      <c r="C83">
        <v>79</v>
      </c>
      <c r="D83" t="s">
        <v>6</v>
      </c>
      <c r="E83" s="23">
        <v>44958</v>
      </c>
      <c r="F83">
        <v>148</v>
      </c>
      <c r="G83">
        <v>4.5</v>
      </c>
      <c r="H83">
        <v>5</v>
      </c>
    </row>
    <row r="84" spans="1:8" x14ac:dyDescent="0.25">
      <c r="A84" t="s">
        <v>106</v>
      </c>
      <c r="B84" t="s">
        <v>18</v>
      </c>
      <c r="C84">
        <v>45</v>
      </c>
      <c r="D84" t="s">
        <v>13</v>
      </c>
      <c r="E84" s="23">
        <v>44958</v>
      </c>
      <c r="F84">
        <v>34</v>
      </c>
      <c r="G84">
        <v>3.7</v>
      </c>
      <c r="H84">
        <v>4</v>
      </c>
    </row>
    <row r="85" spans="1:8" x14ac:dyDescent="0.25">
      <c r="A85" t="s">
        <v>107</v>
      </c>
      <c r="B85" t="s">
        <v>8</v>
      </c>
      <c r="C85">
        <v>137</v>
      </c>
      <c r="D85" t="s">
        <v>6</v>
      </c>
      <c r="E85" s="23">
        <v>44958</v>
      </c>
      <c r="F85">
        <v>86</v>
      </c>
      <c r="G85">
        <v>4.8</v>
      </c>
      <c r="H85">
        <v>5</v>
      </c>
    </row>
    <row r="86" spans="1:8" x14ac:dyDescent="0.25">
      <c r="A86" t="s">
        <v>108</v>
      </c>
      <c r="B86" t="s">
        <v>5</v>
      </c>
      <c r="C86">
        <v>109</v>
      </c>
      <c r="D86" t="s">
        <v>10</v>
      </c>
      <c r="E86" s="23">
        <v>44958</v>
      </c>
      <c r="F86">
        <v>105</v>
      </c>
      <c r="G86">
        <v>3.3</v>
      </c>
      <c r="H86">
        <v>3</v>
      </c>
    </row>
    <row r="87" spans="1:8" x14ac:dyDescent="0.25">
      <c r="A87" t="s">
        <v>109</v>
      </c>
      <c r="B87" t="s">
        <v>12</v>
      </c>
      <c r="C87">
        <v>78</v>
      </c>
      <c r="D87" t="s">
        <v>10</v>
      </c>
      <c r="E87" s="23">
        <v>44958</v>
      </c>
      <c r="F87">
        <v>62</v>
      </c>
      <c r="G87">
        <v>3.1</v>
      </c>
      <c r="H87">
        <v>3</v>
      </c>
    </row>
    <row r="88" spans="1:8" x14ac:dyDescent="0.25">
      <c r="A88" t="s">
        <v>110</v>
      </c>
      <c r="B88" t="s">
        <v>8</v>
      </c>
      <c r="C88">
        <v>137</v>
      </c>
      <c r="D88" t="s">
        <v>13</v>
      </c>
      <c r="E88" s="23">
        <v>44958</v>
      </c>
      <c r="F88">
        <v>90</v>
      </c>
      <c r="G88">
        <v>4.0999999999999996</v>
      </c>
      <c r="H88">
        <v>4</v>
      </c>
    </row>
    <row r="89" spans="1:8" x14ac:dyDescent="0.25">
      <c r="A89" t="s">
        <v>111</v>
      </c>
      <c r="B89" t="s">
        <v>21</v>
      </c>
      <c r="C89">
        <v>99</v>
      </c>
      <c r="D89" t="s">
        <v>10</v>
      </c>
      <c r="E89" s="23">
        <v>44959</v>
      </c>
      <c r="F89">
        <v>112</v>
      </c>
      <c r="G89">
        <v>4.9000000000000004</v>
      </c>
      <c r="H89">
        <v>5</v>
      </c>
    </row>
    <row r="90" spans="1:8" x14ac:dyDescent="0.25">
      <c r="A90" t="s">
        <v>112</v>
      </c>
      <c r="B90" t="s">
        <v>19</v>
      </c>
      <c r="C90">
        <v>100</v>
      </c>
      <c r="D90" t="s">
        <v>10</v>
      </c>
      <c r="E90" s="23">
        <v>44959</v>
      </c>
      <c r="F90">
        <v>135</v>
      </c>
      <c r="G90">
        <v>4</v>
      </c>
      <c r="H90">
        <v>4</v>
      </c>
    </row>
    <row r="91" spans="1:8" x14ac:dyDescent="0.25">
      <c r="A91" t="s">
        <v>113</v>
      </c>
      <c r="B91" t="s">
        <v>12</v>
      </c>
      <c r="C91">
        <v>47</v>
      </c>
      <c r="D91" t="s">
        <v>9</v>
      </c>
      <c r="E91" s="23">
        <v>44959</v>
      </c>
      <c r="F91">
        <v>34</v>
      </c>
      <c r="G91">
        <v>2.1</v>
      </c>
      <c r="H91">
        <v>2</v>
      </c>
    </row>
    <row r="92" spans="1:8" x14ac:dyDescent="0.25">
      <c r="A92" t="s">
        <v>114</v>
      </c>
      <c r="B92" t="s">
        <v>5</v>
      </c>
      <c r="C92">
        <v>87</v>
      </c>
      <c r="D92" t="s">
        <v>11</v>
      </c>
      <c r="E92" s="23">
        <v>44959</v>
      </c>
      <c r="F92">
        <v>155</v>
      </c>
      <c r="G92">
        <v>4.5</v>
      </c>
      <c r="H92">
        <v>5</v>
      </c>
    </row>
    <row r="93" spans="1:8" x14ac:dyDescent="0.25">
      <c r="A93" t="s">
        <v>115</v>
      </c>
      <c r="B93" t="s">
        <v>21</v>
      </c>
      <c r="C93">
        <v>143</v>
      </c>
      <c r="D93" t="s">
        <v>11</v>
      </c>
      <c r="E93" s="23">
        <v>44961</v>
      </c>
      <c r="F93">
        <v>124</v>
      </c>
      <c r="G93">
        <v>4.9000000000000004</v>
      </c>
      <c r="H93">
        <v>5</v>
      </c>
    </row>
    <row r="94" spans="1:8" x14ac:dyDescent="0.25">
      <c r="A94" t="s">
        <v>116</v>
      </c>
      <c r="B94" t="s">
        <v>19</v>
      </c>
      <c r="C94">
        <v>84</v>
      </c>
      <c r="D94" t="s">
        <v>10</v>
      </c>
      <c r="E94" s="23">
        <v>44961</v>
      </c>
      <c r="F94">
        <v>195</v>
      </c>
      <c r="G94">
        <v>4.0999999999999996</v>
      </c>
      <c r="H94">
        <v>4</v>
      </c>
    </row>
    <row r="95" spans="1:8" x14ac:dyDescent="0.25">
      <c r="A95" t="s">
        <v>117</v>
      </c>
      <c r="B95" t="s">
        <v>17</v>
      </c>
      <c r="C95">
        <v>55</v>
      </c>
      <c r="D95" t="s">
        <v>11</v>
      </c>
      <c r="E95" s="23">
        <v>44962</v>
      </c>
      <c r="F95">
        <v>78</v>
      </c>
      <c r="G95">
        <v>4.5</v>
      </c>
      <c r="H95">
        <v>5</v>
      </c>
    </row>
    <row r="96" spans="1:8" x14ac:dyDescent="0.25">
      <c r="A96" t="s">
        <v>118</v>
      </c>
      <c r="B96" t="s">
        <v>15</v>
      </c>
      <c r="C96">
        <v>135</v>
      </c>
      <c r="D96" t="s">
        <v>13</v>
      </c>
      <c r="E96" s="23">
        <v>44964</v>
      </c>
      <c r="F96">
        <v>35</v>
      </c>
      <c r="G96">
        <v>4.8</v>
      </c>
      <c r="H96">
        <v>5</v>
      </c>
    </row>
    <row r="97" spans="1:8" x14ac:dyDescent="0.25">
      <c r="A97" t="s">
        <v>119</v>
      </c>
      <c r="B97" t="s">
        <v>16</v>
      </c>
      <c r="C97">
        <v>152</v>
      </c>
      <c r="D97" t="s">
        <v>9</v>
      </c>
      <c r="E97" s="23">
        <v>44964</v>
      </c>
      <c r="F97">
        <v>123</v>
      </c>
      <c r="G97">
        <v>4.5999999999999996</v>
      </c>
      <c r="H97">
        <v>5</v>
      </c>
    </row>
    <row r="98" spans="1:8" x14ac:dyDescent="0.25">
      <c r="A98" t="s">
        <v>120</v>
      </c>
      <c r="B98" t="s">
        <v>23</v>
      </c>
      <c r="C98">
        <v>132</v>
      </c>
      <c r="D98" t="s">
        <v>9</v>
      </c>
      <c r="E98" s="23">
        <v>44964</v>
      </c>
      <c r="F98">
        <v>43</v>
      </c>
      <c r="G98">
        <v>4.5999999999999996</v>
      </c>
      <c r="H98">
        <v>5</v>
      </c>
    </row>
    <row r="99" spans="1:8" x14ac:dyDescent="0.25">
      <c r="A99" t="s">
        <v>121</v>
      </c>
      <c r="B99" t="s">
        <v>7</v>
      </c>
      <c r="C99">
        <v>60</v>
      </c>
      <c r="D99" t="s">
        <v>10</v>
      </c>
      <c r="E99" s="23">
        <v>44965</v>
      </c>
      <c r="F99">
        <v>69</v>
      </c>
      <c r="G99">
        <v>4.3</v>
      </c>
      <c r="H99">
        <v>4</v>
      </c>
    </row>
    <row r="100" spans="1:8" x14ac:dyDescent="0.25">
      <c r="A100" t="s">
        <v>122</v>
      </c>
      <c r="B100" t="s">
        <v>16</v>
      </c>
      <c r="C100">
        <v>95</v>
      </c>
      <c r="D100" t="s">
        <v>9</v>
      </c>
      <c r="E100" s="23">
        <v>44965</v>
      </c>
      <c r="F100">
        <v>130</v>
      </c>
      <c r="G100">
        <v>5</v>
      </c>
      <c r="H100">
        <v>5</v>
      </c>
    </row>
    <row r="101" spans="1:8" x14ac:dyDescent="0.25">
      <c r="A101" t="s">
        <v>123</v>
      </c>
      <c r="B101" t="s">
        <v>20</v>
      </c>
      <c r="C101">
        <v>96</v>
      </c>
      <c r="D101" t="s">
        <v>6</v>
      </c>
      <c r="E101" s="23">
        <v>44965</v>
      </c>
      <c r="F101">
        <v>120</v>
      </c>
      <c r="G101">
        <v>4</v>
      </c>
      <c r="H101">
        <v>4</v>
      </c>
    </row>
    <row r="102" spans="1:8" x14ac:dyDescent="0.25">
      <c r="A102" t="s">
        <v>124</v>
      </c>
      <c r="B102" t="s">
        <v>17</v>
      </c>
      <c r="C102">
        <v>45</v>
      </c>
      <c r="D102" t="s">
        <v>10</v>
      </c>
      <c r="E102" s="23">
        <v>44966</v>
      </c>
      <c r="F102">
        <v>84</v>
      </c>
      <c r="G102">
        <v>4.5999999999999996</v>
      </c>
      <c r="H102">
        <v>5</v>
      </c>
    </row>
    <row r="103" spans="1:8" x14ac:dyDescent="0.25">
      <c r="A103" t="s">
        <v>125</v>
      </c>
      <c r="B103" t="s">
        <v>20</v>
      </c>
      <c r="C103">
        <v>132</v>
      </c>
      <c r="D103" t="s">
        <v>6</v>
      </c>
      <c r="E103" s="23">
        <v>44967</v>
      </c>
      <c r="F103">
        <v>112</v>
      </c>
      <c r="G103">
        <v>4.5</v>
      </c>
      <c r="H103">
        <v>5</v>
      </c>
    </row>
    <row r="104" spans="1:8" x14ac:dyDescent="0.25">
      <c r="A104" t="s">
        <v>126</v>
      </c>
      <c r="B104" t="s">
        <v>14</v>
      </c>
      <c r="C104">
        <v>95</v>
      </c>
      <c r="D104" t="s">
        <v>10</v>
      </c>
      <c r="E104" s="23">
        <v>44967</v>
      </c>
      <c r="F104">
        <v>66</v>
      </c>
      <c r="G104">
        <v>4.5999999999999996</v>
      </c>
      <c r="H104">
        <v>5</v>
      </c>
    </row>
    <row r="105" spans="1:8" x14ac:dyDescent="0.25">
      <c r="A105" t="s">
        <v>127</v>
      </c>
      <c r="B105" t="s">
        <v>16</v>
      </c>
      <c r="C105">
        <v>131</v>
      </c>
      <c r="D105" t="s">
        <v>11</v>
      </c>
      <c r="E105" s="23">
        <v>44967</v>
      </c>
      <c r="F105">
        <v>172</v>
      </c>
      <c r="G105">
        <v>2.6</v>
      </c>
      <c r="H105">
        <v>3</v>
      </c>
    </row>
    <row r="106" spans="1:8" x14ac:dyDescent="0.25">
      <c r="A106" t="s">
        <v>128</v>
      </c>
      <c r="B106" t="s">
        <v>22</v>
      </c>
      <c r="C106">
        <v>67</v>
      </c>
      <c r="D106" t="s">
        <v>13</v>
      </c>
      <c r="E106" s="23">
        <v>44968</v>
      </c>
      <c r="F106">
        <v>24</v>
      </c>
      <c r="G106">
        <v>4.3</v>
      </c>
      <c r="H106">
        <v>4</v>
      </c>
    </row>
    <row r="107" spans="1:8" x14ac:dyDescent="0.25">
      <c r="A107" t="s">
        <v>129</v>
      </c>
      <c r="B107" t="s">
        <v>21</v>
      </c>
      <c r="C107">
        <v>111</v>
      </c>
      <c r="D107" t="s">
        <v>11</v>
      </c>
      <c r="E107" s="23">
        <v>44969</v>
      </c>
      <c r="F107">
        <v>43</v>
      </c>
      <c r="G107">
        <v>3.9</v>
      </c>
      <c r="H107">
        <v>4</v>
      </c>
    </row>
    <row r="108" spans="1:8" x14ac:dyDescent="0.25">
      <c r="A108" t="s">
        <v>130</v>
      </c>
      <c r="B108" t="s">
        <v>23</v>
      </c>
      <c r="C108">
        <v>78</v>
      </c>
      <c r="D108" t="s">
        <v>9</v>
      </c>
      <c r="E108" s="23">
        <v>44969</v>
      </c>
      <c r="F108">
        <v>23</v>
      </c>
      <c r="G108">
        <v>5</v>
      </c>
      <c r="H108">
        <v>5</v>
      </c>
    </row>
    <row r="109" spans="1:8" x14ac:dyDescent="0.25">
      <c r="A109" t="s">
        <v>131</v>
      </c>
      <c r="B109" t="s">
        <v>24</v>
      </c>
      <c r="C109">
        <v>28</v>
      </c>
      <c r="D109" t="s">
        <v>6</v>
      </c>
      <c r="E109" s="23">
        <v>44969</v>
      </c>
      <c r="F109">
        <v>74</v>
      </c>
      <c r="G109">
        <v>3.5</v>
      </c>
      <c r="H109">
        <v>4</v>
      </c>
    </row>
    <row r="110" spans="1:8" x14ac:dyDescent="0.25">
      <c r="A110" t="s">
        <v>132</v>
      </c>
      <c r="B110" t="s">
        <v>12</v>
      </c>
      <c r="C110">
        <v>127</v>
      </c>
      <c r="D110" t="s">
        <v>13</v>
      </c>
      <c r="E110" s="23">
        <v>44970</v>
      </c>
      <c r="F110">
        <v>165</v>
      </c>
      <c r="G110">
        <v>4.7</v>
      </c>
      <c r="H110">
        <v>5</v>
      </c>
    </row>
    <row r="111" spans="1:8" x14ac:dyDescent="0.25">
      <c r="A111" t="s">
        <v>133</v>
      </c>
      <c r="B111" t="s">
        <v>19</v>
      </c>
      <c r="C111">
        <v>137</v>
      </c>
      <c r="D111" t="s">
        <v>11</v>
      </c>
      <c r="E111" s="23">
        <v>44970</v>
      </c>
      <c r="F111">
        <v>34</v>
      </c>
      <c r="G111">
        <v>2.9</v>
      </c>
      <c r="H111">
        <v>3</v>
      </c>
    </row>
    <row r="112" spans="1:8" x14ac:dyDescent="0.25">
      <c r="A112" t="s">
        <v>134</v>
      </c>
      <c r="B112" t="s">
        <v>12</v>
      </c>
      <c r="C112">
        <v>76</v>
      </c>
      <c r="D112" t="s">
        <v>6</v>
      </c>
      <c r="E112" s="23">
        <v>44970</v>
      </c>
      <c r="F112">
        <v>64</v>
      </c>
      <c r="G112">
        <v>3.4</v>
      </c>
      <c r="H112">
        <v>3</v>
      </c>
    </row>
    <row r="113" spans="1:8" x14ac:dyDescent="0.25">
      <c r="A113" t="s">
        <v>135</v>
      </c>
      <c r="B113" t="s">
        <v>23</v>
      </c>
      <c r="C113">
        <v>80</v>
      </c>
      <c r="D113" t="s">
        <v>13</v>
      </c>
      <c r="E113" s="23">
        <v>44971</v>
      </c>
      <c r="F113">
        <v>155</v>
      </c>
      <c r="G113">
        <v>3.2</v>
      </c>
      <c r="H113">
        <v>3</v>
      </c>
    </row>
    <row r="114" spans="1:8" x14ac:dyDescent="0.25">
      <c r="A114" t="s">
        <v>136</v>
      </c>
      <c r="B114" t="s">
        <v>12</v>
      </c>
      <c r="C114">
        <v>95</v>
      </c>
      <c r="D114" t="s">
        <v>9</v>
      </c>
      <c r="E114" s="23">
        <v>44972</v>
      </c>
      <c r="F114">
        <v>120</v>
      </c>
      <c r="G114">
        <v>4.8</v>
      </c>
      <c r="H114">
        <v>5</v>
      </c>
    </row>
    <row r="115" spans="1:8" x14ac:dyDescent="0.25">
      <c r="A115" t="s">
        <v>137</v>
      </c>
      <c r="B115" t="s">
        <v>7</v>
      </c>
      <c r="C115">
        <v>30</v>
      </c>
      <c r="D115" t="s">
        <v>6</v>
      </c>
      <c r="E115" s="23">
        <v>44972</v>
      </c>
      <c r="F115">
        <v>105</v>
      </c>
      <c r="G115">
        <v>3.6</v>
      </c>
      <c r="H115">
        <v>4</v>
      </c>
    </row>
    <row r="116" spans="1:8" x14ac:dyDescent="0.25">
      <c r="A116" t="s">
        <v>138</v>
      </c>
      <c r="B116" t="s">
        <v>8</v>
      </c>
      <c r="C116">
        <v>19</v>
      </c>
      <c r="D116" t="s">
        <v>11</v>
      </c>
      <c r="E116" s="23">
        <v>44972</v>
      </c>
      <c r="F116">
        <v>28</v>
      </c>
      <c r="G116">
        <v>4.9000000000000004</v>
      </c>
      <c r="H116">
        <v>5</v>
      </c>
    </row>
    <row r="117" spans="1:8" x14ac:dyDescent="0.25">
      <c r="A117" t="s">
        <v>139</v>
      </c>
      <c r="B117" t="s">
        <v>18</v>
      </c>
      <c r="C117">
        <v>38</v>
      </c>
      <c r="D117" t="s">
        <v>13</v>
      </c>
      <c r="E117" s="23">
        <v>44972</v>
      </c>
      <c r="F117">
        <v>100</v>
      </c>
      <c r="G117">
        <v>4.8</v>
      </c>
      <c r="H117">
        <v>5</v>
      </c>
    </row>
    <row r="118" spans="1:8" x14ac:dyDescent="0.25">
      <c r="A118" t="s">
        <v>140</v>
      </c>
      <c r="B118" t="s">
        <v>14</v>
      </c>
      <c r="C118">
        <v>55</v>
      </c>
      <c r="D118" t="s">
        <v>11</v>
      </c>
      <c r="E118" s="23">
        <v>44972</v>
      </c>
      <c r="F118">
        <v>23</v>
      </c>
      <c r="G118">
        <v>3.6</v>
      </c>
      <c r="H118">
        <v>4</v>
      </c>
    </row>
    <row r="119" spans="1:8" x14ac:dyDescent="0.25">
      <c r="A119" t="s">
        <v>141</v>
      </c>
      <c r="B119" t="s">
        <v>22</v>
      </c>
      <c r="C119">
        <v>27</v>
      </c>
      <c r="D119" t="s">
        <v>6</v>
      </c>
      <c r="E119" s="23">
        <v>44973</v>
      </c>
      <c r="F119">
        <v>70</v>
      </c>
      <c r="G119">
        <v>3.9</v>
      </c>
      <c r="H119">
        <v>4</v>
      </c>
    </row>
    <row r="120" spans="1:8" x14ac:dyDescent="0.25">
      <c r="A120" t="s">
        <v>142</v>
      </c>
      <c r="B120" t="s">
        <v>22</v>
      </c>
      <c r="C120">
        <v>32</v>
      </c>
      <c r="D120" t="s">
        <v>6</v>
      </c>
      <c r="E120" s="23">
        <v>44973</v>
      </c>
      <c r="F120">
        <v>37</v>
      </c>
      <c r="G120">
        <v>1.9</v>
      </c>
      <c r="H120">
        <v>2</v>
      </c>
    </row>
    <row r="121" spans="1:8" x14ac:dyDescent="0.25">
      <c r="A121" t="s">
        <v>143</v>
      </c>
      <c r="B121" t="s">
        <v>24</v>
      </c>
      <c r="C121">
        <v>116</v>
      </c>
      <c r="D121" t="s">
        <v>10</v>
      </c>
      <c r="E121" s="23">
        <v>44973</v>
      </c>
      <c r="F121">
        <v>140</v>
      </c>
      <c r="G121">
        <v>3.6</v>
      </c>
      <c r="H121">
        <v>4</v>
      </c>
    </row>
    <row r="122" spans="1:8" x14ac:dyDescent="0.25">
      <c r="A122" t="s">
        <v>144</v>
      </c>
      <c r="B122" t="s">
        <v>20</v>
      </c>
      <c r="C122">
        <v>99</v>
      </c>
      <c r="D122" t="s">
        <v>9</v>
      </c>
      <c r="E122" s="23">
        <v>44973</v>
      </c>
      <c r="F122">
        <v>78</v>
      </c>
      <c r="G122">
        <v>4.0999999999999996</v>
      </c>
      <c r="H122">
        <v>4</v>
      </c>
    </row>
    <row r="123" spans="1:8" x14ac:dyDescent="0.25">
      <c r="A123" t="s">
        <v>145</v>
      </c>
      <c r="B123" t="s">
        <v>12</v>
      </c>
      <c r="C123">
        <v>75</v>
      </c>
      <c r="D123" t="s">
        <v>6</v>
      </c>
      <c r="E123" s="23">
        <v>44974</v>
      </c>
      <c r="F123">
        <v>21</v>
      </c>
      <c r="G123">
        <v>4.2</v>
      </c>
      <c r="H123">
        <v>4</v>
      </c>
    </row>
    <row r="124" spans="1:8" x14ac:dyDescent="0.25">
      <c r="A124" t="s">
        <v>146</v>
      </c>
      <c r="B124" t="s">
        <v>23</v>
      </c>
      <c r="C124">
        <v>57</v>
      </c>
      <c r="D124" t="s">
        <v>10</v>
      </c>
      <c r="E124" s="23">
        <v>44974</v>
      </c>
      <c r="F124">
        <v>88</v>
      </c>
      <c r="G124">
        <v>4.3</v>
      </c>
      <c r="H124">
        <v>4</v>
      </c>
    </row>
    <row r="125" spans="1:8" x14ac:dyDescent="0.25">
      <c r="A125" t="s">
        <v>147</v>
      </c>
      <c r="B125" t="s">
        <v>15</v>
      </c>
      <c r="C125">
        <v>155</v>
      </c>
      <c r="D125" t="s">
        <v>10</v>
      </c>
      <c r="E125" s="23">
        <v>44975</v>
      </c>
      <c r="F125">
        <v>180</v>
      </c>
      <c r="G125">
        <v>2.2000000000000002</v>
      </c>
      <c r="H125">
        <v>2</v>
      </c>
    </row>
    <row r="126" spans="1:8" x14ac:dyDescent="0.25">
      <c r="A126" t="s">
        <v>148</v>
      </c>
      <c r="B126" t="s">
        <v>20</v>
      </c>
      <c r="C126">
        <v>68</v>
      </c>
      <c r="D126" t="s">
        <v>9</v>
      </c>
      <c r="E126" s="23">
        <v>44975</v>
      </c>
      <c r="F126">
        <v>22</v>
      </c>
      <c r="G126">
        <v>3.3</v>
      </c>
      <c r="H126">
        <v>3</v>
      </c>
    </row>
    <row r="127" spans="1:8" x14ac:dyDescent="0.25">
      <c r="A127" t="s">
        <v>149</v>
      </c>
      <c r="B127" t="s">
        <v>18</v>
      </c>
      <c r="C127">
        <v>95</v>
      </c>
      <c r="D127" t="s">
        <v>9</v>
      </c>
      <c r="E127" s="23">
        <v>44975</v>
      </c>
      <c r="F127">
        <v>52</v>
      </c>
      <c r="G127">
        <v>4.8</v>
      </c>
      <c r="H127">
        <v>5</v>
      </c>
    </row>
    <row r="128" spans="1:8" x14ac:dyDescent="0.25">
      <c r="A128" t="s">
        <v>150</v>
      </c>
      <c r="B128" t="s">
        <v>19</v>
      </c>
      <c r="C128">
        <v>65</v>
      </c>
      <c r="D128" t="s">
        <v>10</v>
      </c>
      <c r="E128" s="23">
        <v>44976</v>
      </c>
      <c r="F128">
        <v>80</v>
      </c>
      <c r="G128">
        <v>4</v>
      </c>
      <c r="H128">
        <v>4</v>
      </c>
    </row>
    <row r="129" spans="1:8" x14ac:dyDescent="0.25">
      <c r="A129" t="s">
        <v>151</v>
      </c>
      <c r="B129" t="s">
        <v>8</v>
      </c>
      <c r="C129">
        <v>114</v>
      </c>
      <c r="D129" t="s">
        <v>11</v>
      </c>
      <c r="E129" s="23">
        <v>44976</v>
      </c>
      <c r="F129">
        <v>54</v>
      </c>
      <c r="G129">
        <v>1.1000000000000001</v>
      </c>
      <c r="H129">
        <v>1</v>
      </c>
    </row>
    <row r="130" spans="1:8" x14ac:dyDescent="0.25">
      <c r="A130" t="s">
        <v>152</v>
      </c>
      <c r="B130" t="s">
        <v>12</v>
      </c>
      <c r="C130">
        <v>155</v>
      </c>
      <c r="D130" t="s">
        <v>11</v>
      </c>
      <c r="E130" s="23">
        <v>44977</v>
      </c>
      <c r="F130">
        <v>80</v>
      </c>
      <c r="G130">
        <v>3.9</v>
      </c>
      <c r="H130">
        <v>4</v>
      </c>
    </row>
    <row r="131" spans="1:8" x14ac:dyDescent="0.25">
      <c r="A131" t="s">
        <v>153</v>
      </c>
      <c r="B131" t="s">
        <v>19</v>
      </c>
      <c r="C131">
        <v>114</v>
      </c>
      <c r="D131" t="s">
        <v>10</v>
      </c>
      <c r="E131" s="23">
        <v>44978</v>
      </c>
      <c r="F131">
        <v>120</v>
      </c>
      <c r="G131">
        <v>1.8</v>
      </c>
      <c r="H131">
        <v>2</v>
      </c>
    </row>
    <row r="132" spans="1:8" x14ac:dyDescent="0.25">
      <c r="A132" t="s">
        <v>154</v>
      </c>
      <c r="B132" t="s">
        <v>15</v>
      </c>
      <c r="C132">
        <v>130</v>
      </c>
      <c r="D132" t="s">
        <v>13</v>
      </c>
      <c r="E132" s="23">
        <v>44978</v>
      </c>
      <c r="F132">
        <v>150</v>
      </c>
      <c r="G132">
        <v>1</v>
      </c>
      <c r="H132">
        <v>1</v>
      </c>
    </row>
    <row r="133" spans="1:8" x14ac:dyDescent="0.25">
      <c r="A133" t="s">
        <v>155</v>
      </c>
      <c r="B133" t="s">
        <v>12</v>
      </c>
      <c r="C133">
        <v>89</v>
      </c>
      <c r="D133" t="s">
        <v>10</v>
      </c>
      <c r="E133" s="23">
        <v>44978</v>
      </c>
      <c r="F133">
        <v>90</v>
      </c>
      <c r="G133">
        <v>4.3</v>
      </c>
      <c r="H133">
        <v>4</v>
      </c>
    </row>
    <row r="134" spans="1:8" x14ac:dyDescent="0.25">
      <c r="A134" t="s">
        <v>156</v>
      </c>
      <c r="B134" t="s">
        <v>17</v>
      </c>
      <c r="C134">
        <v>61</v>
      </c>
      <c r="D134" t="s">
        <v>6</v>
      </c>
      <c r="E134" s="23">
        <v>44979</v>
      </c>
      <c r="F134">
        <v>140</v>
      </c>
      <c r="G134">
        <v>3.4</v>
      </c>
      <c r="H134">
        <v>3</v>
      </c>
    </row>
    <row r="135" spans="1:8" x14ac:dyDescent="0.25">
      <c r="A135" t="s">
        <v>157</v>
      </c>
      <c r="B135" t="s">
        <v>18</v>
      </c>
      <c r="C135">
        <v>154</v>
      </c>
      <c r="D135" t="s">
        <v>11</v>
      </c>
      <c r="E135" s="23">
        <v>44979</v>
      </c>
      <c r="F135">
        <v>22</v>
      </c>
      <c r="G135">
        <v>3.4</v>
      </c>
      <c r="H135">
        <v>3</v>
      </c>
    </row>
    <row r="136" spans="1:8" x14ac:dyDescent="0.25">
      <c r="A136" t="s">
        <v>158</v>
      </c>
      <c r="B136" t="s">
        <v>19</v>
      </c>
      <c r="C136">
        <v>115</v>
      </c>
      <c r="D136" t="s">
        <v>13</v>
      </c>
      <c r="E136" s="23">
        <v>44980</v>
      </c>
      <c r="F136">
        <v>150</v>
      </c>
      <c r="G136">
        <v>4.0999999999999996</v>
      </c>
      <c r="H136">
        <v>4</v>
      </c>
    </row>
    <row r="137" spans="1:8" x14ac:dyDescent="0.25">
      <c r="A137" t="s">
        <v>159</v>
      </c>
      <c r="B137" t="s">
        <v>5</v>
      </c>
      <c r="C137">
        <v>138</v>
      </c>
      <c r="D137" t="s">
        <v>9</v>
      </c>
      <c r="E137" s="23">
        <v>44981</v>
      </c>
      <c r="F137">
        <v>35</v>
      </c>
      <c r="G137">
        <v>4.8</v>
      </c>
      <c r="H137">
        <v>5</v>
      </c>
    </row>
    <row r="138" spans="1:8" x14ac:dyDescent="0.25">
      <c r="A138" t="s">
        <v>160</v>
      </c>
      <c r="B138" t="s">
        <v>21</v>
      </c>
      <c r="C138">
        <v>153</v>
      </c>
      <c r="D138" t="s">
        <v>10</v>
      </c>
      <c r="E138" s="23">
        <v>44981</v>
      </c>
      <c r="F138">
        <v>200</v>
      </c>
      <c r="G138">
        <v>2</v>
      </c>
      <c r="H138">
        <v>2</v>
      </c>
    </row>
    <row r="139" spans="1:8" x14ac:dyDescent="0.25">
      <c r="A139" t="s">
        <v>161</v>
      </c>
      <c r="B139" t="s">
        <v>19</v>
      </c>
      <c r="C139">
        <v>61</v>
      </c>
      <c r="D139" t="s">
        <v>6</v>
      </c>
      <c r="E139" s="23">
        <v>44982</v>
      </c>
      <c r="F139">
        <v>150</v>
      </c>
      <c r="G139">
        <v>4.5999999999999996</v>
      </c>
      <c r="H139">
        <v>5</v>
      </c>
    </row>
    <row r="140" spans="1:8" x14ac:dyDescent="0.25">
      <c r="A140" t="s">
        <v>162</v>
      </c>
      <c r="B140" t="s">
        <v>22</v>
      </c>
      <c r="C140">
        <v>62</v>
      </c>
      <c r="D140" t="s">
        <v>10</v>
      </c>
      <c r="E140" s="23">
        <v>44982</v>
      </c>
      <c r="F140">
        <v>21</v>
      </c>
      <c r="G140">
        <v>2.6</v>
      </c>
      <c r="H140">
        <v>3</v>
      </c>
    </row>
    <row r="141" spans="1:8" x14ac:dyDescent="0.25">
      <c r="A141" t="s">
        <v>163</v>
      </c>
      <c r="B141" t="s">
        <v>17</v>
      </c>
      <c r="C141">
        <v>151</v>
      </c>
      <c r="D141" t="s">
        <v>13</v>
      </c>
      <c r="E141" s="23">
        <v>44983</v>
      </c>
      <c r="F141">
        <v>46</v>
      </c>
      <c r="G141">
        <v>4.9000000000000004</v>
      </c>
      <c r="H141">
        <v>5</v>
      </c>
    </row>
    <row r="142" spans="1:8" x14ac:dyDescent="0.25">
      <c r="A142" t="s">
        <v>164</v>
      </c>
      <c r="B142" t="s">
        <v>16</v>
      </c>
      <c r="C142">
        <v>102</v>
      </c>
      <c r="D142" t="s">
        <v>11</v>
      </c>
      <c r="E142" s="23">
        <v>44983</v>
      </c>
      <c r="F142">
        <v>165</v>
      </c>
      <c r="G142">
        <v>2.7</v>
      </c>
      <c r="H142">
        <v>3</v>
      </c>
    </row>
    <row r="143" spans="1:8" x14ac:dyDescent="0.25">
      <c r="A143" t="s">
        <v>165</v>
      </c>
      <c r="B143" t="s">
        <v>7</v>
      </c>
      <c r="C143">
        <v>64</v>
      </c>
      <c r="D143" t="s">
        <v>10</v>
      </c>
      <c r="E143" s="23">
        <v>44983</v>
      </c>
      <c r="F143">
        <v>84</v>
      </c>
      <c r="G143">
        <v>4.0999999999999996</v>
      </c>
      <c r="H143">
        <v>4</v>
      </c>
    </row>
    <row r="144" spans="1:8" x14ac:dyDescent="0.25">
      <c r="A144" t="s">
        <v>166</v>
      </c>
      <c r="B144" t="s">
        <v>12</v>
      </c>
      <c r="C144">
        <v>6</v>
      </c>
      <c r="D144" t="s">
        <v>11</v>
      </c>
      <c r="E144" s="23">
        <v>44984</v>
      </c>
      <c r="F144">
        <v>102</v>
      </c>
      <c r="G144">
        <v>4.4000000000000004</v>
      </c>
      <c r="H144">
        <v>4</v>
      </c>
    </row>
    <row r="145" spans="1:8" x14ac:dyDescent="0.25">
      <c r="A145" t="s">
        <v>167</v>
      </c>
      <c r="B145" t="s">
        <v>7</v>
      </c>
      <c r="C145">
        <v>129</v>
      </c>
      <c r="D145" t="s">
        <v>10</v>
      </c>
      <c r="E145" s="23">
        <v>44984</v>
      </c>
      <c r="F145">
        <v>180</v>
      </c>
      <c r="G145">
        <v>4.8</v>
      </c>
      <c r="H145">
        <v>5</v>
      </c>
    </row>
    <row r="146" spans="1:8" x14ac:dyDescent="0.25">
      <c r="A146" t="s">
        <v>168</v>
      </c>
      <c r="B146" t="s">
        <v>22</v>
      </c>
      <c r="C146">
        <v>42</v>
      </c>
      <c r="D146" t="s">
        <v>13</v>
      </c>
      <c r="E146" s="23">
        <v>44985</v>
      </c>
      <c r="F146">
        <v>111</v>
      </c>
      <c r="G146">
        <v>3</v>
      </c>
      <c r="H146">
        <v>3</v>
      </c>
    </row>
    <row r="147" spans="1:8" x14ac:dyDescent="0.25">
      <c r="A147" t="s">
        <v>169</v>
      </c>
      <c r="B147" t="s">
        <v>22</v>
      </c>
      <c r="C147">
        <v>71</v>
      </c>
      <c r="D147" t="s">
        <v>6</v>
      </c>
      <c r="E147" s="23">
        <v>44985</v>
      </c>
      <c r="F147">
        <v>104</v>
      </c>
      <c r="G147">
        <v>3.1</v>
      </c>
      <c r="H147">
        <v>3</v>
      </c>
    </row>
    <row r="148" spans="1:8" x14ac:dyDescent="0.25">
      <c r="A148" t="s">
        <v>170</v>
      </c>
      <c r="B148" t="s">
        <v>23</v>
      </c>
      <c r="C148">
        <v>53</v>
      </c>
      <c r="D148" t="s">
        <v>11</v>
      </c>
      <c r="E148" s="23">
        <v>44985</v>
      </c>
      <c r="F148">
        <v>80</v>
      </c>
      <c r="G148">
        <v>2.6</v>
      </c>
      <c r="H148">
        <v>3</v>
      </c>
    </row>
    <row r="149" spans="1:8" x14ac:dyDescent="0.25">
      <c r="A149" t="s">
        <v>171</v>
      </c>
      <c r="B149" t="s">
        <v>8</v>
      </c>
      <c r="C149">
        <v>155</v>
      </c>
      <c r="D149" t="s">
        <v>6</v>
      </c>
      <c r="E149" s="23">
        <v>44986</v>
      </c>
      <c r="F149">
        <v>132</v>
      </c>
      <c r="G149">
        <v>4.5999999999999996</v>
      </c>
      <c r="H149">
        <v>5</v>
      </c>
    </row>
    <row r="150" spans="1:8" x14ac:dyDescent="0.25">
      <c r="A150" t="s">
        <v>172</v>
      </c>
      <c r="B150" t="s">
        <v>8</v>
      </c>
      <c r="C150">
        <v>90</v>
      </c>
      <c r="D150" t="s">
        <v>13</v>
      </c>
      <c r="E150" s="23">
        <v>44986</v>
      </c>
      <c r="F150">
        <v>170</v>
      </c>
      <c r="G150">
        <v>3.7</v>
      </c>
      <c r="H150">
        <v>4</v>
      </c>
    </row>
    <row r="151" spans="1:8" x14ac:dyDescent="0.25">
      <c r="A151" t="s">
        <v>173</v>
      </c>
      <c r="B151" t="s">
        <v>7</v>
      </c>
      <c r="C151">
        <v>166</v>
      </c>
      <c r="D151" t="s">
        <v>9</v>
      </c>
      <c r="E151" s="23">
        <v>44986</v>
      </c>
      <c r="F151">
        <v>36</v>
      </c>
      <c r="G151">
        <v>3.8</v>
      </c>
      <c r="H151">
        <v>4</v>
      </c>
    </row>
    <row r="152" spans="1:8" x14ac:dyDescent="0.25">
      <c r="A152" t="s">
        <v>174</v>
      </c>
      <c r="B152" t="s">
        <v>24</v>
      </c>
      <c r="C152">
        <v>89</v>
      </c>
      <c r="D152" t="s">
        <v>6</v>
      </c>
      <c r="E152" s="23">
        <v>44986</v>
      </c>
      <c r="F152">
        <v>126</v>
      </c>
      <c r="G152">
        <v>3.6</v>
      </c>
      <c r="H152">
        <v>4</v>
      </c>
    </row>
    <row r="153" spans="1:8" x14ac:dyDescent="0.25">
      <c r="A153" t="s">
        <v>175</v>
      </c>
      <c r="B153" t="s">
        <v>19</v>
      </c>
      <c r="C153">
        <v>152</v>
      </c>
      <c r="D153" t="s">
        <v>11</v>
      </c>
      <c r="E153" s="23">
        <v>44986</v>
      </c>
      <c r="F153">
        <v>215</v>
      </c>
      <c r="G153">
        <v>4.4000000000000004</v>
      </c>
      <c r="H153">
        <v>4</v>
      </c>
    </row>
    <row r="154" spans="1:8" x14ac:dyDescent="0.25">
      <c r="A154" t="s">
        <v>176</v>
      </c>
      <c r="B154" t="s">
        <v>24</v>
      </c>
      <c r="C154">
        <v>137</v>
      </c>
      <c r="D154" t="s">
        <v>13</v>
      </c>
      <c r="E154" s="23">
        <v>44986</v>
      </c>
      <c r="F154">
        <v>114</v>
      </c>
      <c r="G154">
        <v>3.2</v>
      </c>
      <c r="H154">
        <v>3</v>
      </c>
    </row>
    <row r="155" spans="1:8" x14ac:dyDescent="0.25">
      <c r="A155" t="s">
        <v>177</v>
      </c>
      <c r="B155" t="s">
        <v>24</v>
      </c>
      <c r="C155">
        <v>43</v>
      </c>
      <c r="D155" t="s">
        <v>13</v>
      </c>
      <c r="E155" s="23">
        <v>44986</v>
      </c>
      <c r="F155">
        <v>99</v>
      </c>
      <c r="G155">
        <v>4.7</v>
      </c>
      <c r="H155">
        <v>5</v>
      </c>
    </row>
    <row r="156" spans="1:8" x14ac:dyDescent="0.25">
      <c r="A156" t="s">
        <v>178</v>
      </c>
      <c r="B156" t="s">
        <v>18</v>
      </c>
      <c r="C156">
        <v>114</v>
      </c>
      <c r="D156" t="s">
        <v>13</v>
      </c>
      <c r="E156" s="23">
        <v>44987</v>
      </c>
      <c r="F156">
        <v>23</v>
      </c>
      <c r="G156">
        <v>4.8</v>
      </c>
      <c r="H156">
        <v>5</v>
      </c>
    </row>
    <row r="157" spans="1:8" x14ac:dyDescent="0.25">
      <c r="A157" t="s">
        <v>179</v>
      </c>
      <c r="B157" t="s">
        <v>21</v>
      </c>
      <c r="C157">
        <v>103</v>
      </c>
      <c r="D157" t="s">
        <v>6</v>
      </c>
      <c r="E157" s="23">
        <v>44987</v>
      </c>
      <c r="F157">
        <v>75</v>
      </c>
      <c r="G157">
        <v>2.7</v>
      </c>
      <c r="H157">
        <v>3</v>
      </c>
    </row>
    <row r="158" spans="1:8" x14ac:dyDescent="0.25">
      <c r="A158" t="s">
        <v>180</v>
      </c>
      <c r="B158" t="s">
        <v>24</v>
      </c>
      <c r="C158">
        <v>98</v>
      </c>
      <c r="D158" t="s">
        <v>11</v>
      </c>
      <c r="E158" s="23">
        <v>44987</v>
      </c>
      <c r="F158">
        <v>100</v>
      </c>
      <c r="G158">
        <v>3.8</v>
      </c>
      <c r="H158">
        <v>4</v>
      </c>
    </row>
    <row r="159" spans="1:8" x14ac:dyDescent="0.25">
      <c r="A159" t="s">
        <v>181</v>
      </c>
      <c r="B159" t="s">
        <v>7</v>
      </c>
      <c r="C159">
        <v>106</v>
      </c>
      <c r="D159" t="s">
        <v>9</v>
      </c>
      <c r="E159" s="23">
        <v>44987</v>
      </c>
      <c r="F159">
        <v>108</v>
      </c>
      <c r="G159">
        <v>4.3</v>
      </c>
      <c r="H159">
        <v>4</v>
      </c>
    </row>
    <row r="160" spans="1:8" x14ac:dyDescent="0.25">
      <c r="A160" t="s">
        <v>182</v>
      </c>
      <c r="B160" t="s">
        <v>12</v>
      </c>
      <c r="C160">
        <v>96</v>
      </c>
      <c r="D160" t="s">
        <v>9</v>
      </c>
      <c r="E160" s="23">
        <v>44987</v>
      </c>
      <c r="F160">
        <v>108</v>
      </c>
      <c r="G160">
        <v>5</v>
      </c>
      <c r="H160">
        <v>5</v>
      </c>
    </row>
    <row r="161" spans="1:8" x14ac:dyDescent="0.25">
      <c r="A161" t="s">
        <v>183</v>
      </c>
      <c r="B161" t="s">
        <v>21</v>
      </c>
      <c r="C161">
        <v>70</v>
      </c>
      <c r="D161" t="s">
        <v>9</v>
      </c>
      <c r="E161" s="23">
        <v>44987</v>
      </c>
      <c r="F161">
        <v>28</v>
      </c>
      <c r="G161">
        <v>4.8</v>
      </c>
      <c r="H161">
        <v>5</v>
      </c>
    </row>
    <row r="162" spans="1:8" x14ac:dyDescent="0.25">
      <c r="A162" t="s">
        <v>184</v>
      </c>
      <c r="B162" t="s">
        <v>22</v>
      </c>
      <c r="C162">
        <v>86</v>
      </c>
      <c r="D162" t="s">
        <v>10</v>
      </c>
      <c r="E162" s="23">
        <v>44988</v>
      </c>
      <c r="F162">
        <v>70</v>
      </c>
      <c r="G162">
        <v>4.9000000000000004</v>
      </c>
      <c r="H162">
        <v>5</v>
      </c>
    </row>
    <row r="163" spans="1:8" x14ac:dyDescent="0.25">
      <c r="A163" t="s">
        <v>185</v>
      </c>
      <c r="B163" t="s">
        <v>23</v>
      </c>
      <c r="C163">
        <v>64</v>
      </c>
      <c r="D163" t="s">
        <v>10</v>
      </c>
      <c r="E163" s="23">
        <v>44988</v>
      </c>
      <c r="F163">
        <v>172</v>
      </c>
      <c r="G163">
        <v>4.0999999999999996</v>
      </c>
      <c r="H163">
        <v>4</v>
      </c>
    </row>
    <row r="164" spans="1:8" x14ac:dyDescent="0.25">
      <c r="A164" t="s">
        <v>186</v>
      </c>
      <c r="B164" t="s">
        <v>12</v>
      </c>
      <c r="C164">
        <v>113</v>
      </c>
      <c r="D164" t="s">
        <v>11</v>
      </c>
      <c r="E164" s="23">
        <v>44988</v>
      </c>
      <c r="F164">
        <v>123</v>
      </c>
      <c r="G164">
        <v>4.4000000000000004</v>
      </c>
      <c r="H164">
        <v>4</v>
      </c>
    </row>
    <row r="165" spans="1:8" x14ac:dyDescent="0.25">
      <c r="A165" t="s">
        <v>187</v>
      </c>
      <c r="B165" t="s">
        <v>12</v>
      </c>
      <c r="C165">
        <v>21</v>
      </c>
      <c r="D165" t="s">
        <v>9</v>
      </c>
      <c r="E165" s="23">
        <v>44988</v>
      </c>
      <c r="F165">
        <v>93</v>
      </c>
      <c r="G165">
        <v>3.4</v>
      </c>
      <c r="H165">
        <v>3</v>
      </c>
    </row>
    <row r="166" spans="1:8" x14ac:dyDescent="0.25">
      <c r="A166" t="s">
        <v>188</v>
      </c>
      <c r="B166" t="s">
        <v>16</v>
      </c>
      <c r="C166">
        <v>107</v>
      </c>
      <c r="D166" t="s">
        <v>10</v>
      </c>
      <c r="E166" s="23">
        <v>44988</v>
      </c>
      <c r="F166">
        <v>66</v>
      </c>
      <c r="G166">
        <v>4</v>
      </c>
      <c r="H166">
        <v>4</v>
      </c>
    </row>
    <row r="167" spans="1:8" x14ac:dyDescent="0.25">
      <c r="A167" t="s">
        <v>189</v>
      </c>
      <c r="B167" t="s">
        <v>16</v>
      </c>
      <c r="C167">
        <v>131</v>
      </c>
      <c r="D167" t="s">
        <v>9</v>
      </c>
      <c r="E167" s="23">
        <v>44988</v>
      </c>
      <c r="F167">
        <v>39</v>
      </c>
      <c r="G167">
        <v>2.4</v>
      </c>
      <c r="H167">
        <v>2</v>
      </c>
    </row>
    <row r="168" spans="1:8" x14ac:dyDescent="0.25">
      <c r="A168" t="s">
        <v>190</v>
      </c>
      <c r="B168" t="s">
        <v>20</v>
      </c>
      <c r="C168">
        <v>11</v>
      </c>
      <c r="D168" t="s">
        <v>6</v>
      </c>
      <c r="E168" s="23">
        <v>44988</v>
      </c>
      <c r="F168">
        <v>25</v>
      </c>
      <c r="G168">
        <v>2.1</v>
      </c>
      <c r="H168">
        <v>2</v>
      </c>
    </row>
    <row r="169" spans="1:8" x14ac:dyDescent="0.25">
      <c r="A169" t="s">
        <v>191</v>
      </c>
      <c r="B169" t="s">
        <v>17</v>
      </c>
      <c r="C169">
        <v>86</v>
      </c>
      <c r="D169" t="s">
        <v>11</v>
      </c>
      <c r="E169" s="23">
        <v>44988</v>
      </c>
      <c r="F169">
        <v>68</v>
      </c>
      <c r="G169">
        <v>3</v>
      </c>
      <c r="H169">
        <v>3</v>
      </c>
    </row>
    <row r="170" spans="1:8" x14ac:dyDescent="0.25">
      <c r="A170" t="s">
        <v>192</v>
      </c>
      <c r="B170" t="s">
        <v>23</v>
      </c>
      <c r="C170">
        <v>28</v>
      </c>
      <c r="D170" t="s">
        <v>6</v>
      </c>
      <c r="E170" s="23">
        <v>44988</v>
      </c>
      <c r="F170">
        <v>84</v>
      </c>
      <c r="G170">
        <v>3.2</v>
      </c>
      <c r="H170">
        <v>3</v>
      </c>
    </row>
    <row r="171" spans="1:8" x14ac:dyDescent="0.25">
      <c r="A171" t="s">
        <v>193</v>
      </c>
      <c r="B171" t="s">
        <v>8</v>
      </c>
      <c r="C171">
        <v>139</v>
      </c>
      <c r="D171" t="s">
        <v>9</v>
      </c>
      <c r="E171" s="23">
        <v>44989</v>
      </c>
      <c r="F171">
        <v>88</v>
      </c>
      <c r="G171">
        <v>3.4</v>
      </c>
      <c r="H171">
        <v>3</v>
      </c>
    </row>
    <row r="172" spans="1:8" x14ac:dyDescent="0.25">
      <c r="A172" t="s">
        <v>194</v>
      </c>
      <c r="B172" t="s">
        <v>7</v>
      </c>
      <c r="C172">
        <v>82</v>
      </c>
      <c r="D172" t="s">
        <v>11</v>
      </c>
      <c r="E172" s="23">
        <v>44989</v>
      </c>
      <c r="F172">
        <v>93</v>
      </c>
      <c r="G172">
        <v>2.7</v>
      </c>
      <c r="H172">
        <v>3</v>
      </c>
    </row>
    <row r="173" spans="1:8" x14ac:dyDescent="0.25">
      <c r="A173" t="s">
        <v>195</v>
      </c>
      <c r="B173" t="s">
        <v>12</v>
      </c>
      <c r="C173">
        <v>101</v>
      </c>
      <c r="D173" t="s">
        <v>6</v>
      </c>
      <c r="E173" s="23">
        <v>44989</v>
      </c>
      <c r="F173">
        <v>128</v>
      </c>
      <c r="G173">
        <v>5</v>
      </c>
      <c r="H173">
        <v>5</v>
      </c>
    </row>
    <row r="174" spans="1:8" x14ac:dyDescent="0.25">
      <c r="A174" t="s">
        <v>196</v>
      </c>
      <c r="B174" t="s">
        <v>23</v>
      </c>
      <c r="C174">
        <v>75</v>
      </c>
      <c r="D174" t="s">
        <v>13</v>
      </c>
      <c r="E174" s="23">
        <v>44989</v>
      </c>
      <c r="F174">
        <v>40</v>
      </c>
      <c r="G174">
        <v>3.4</v>
      </c>
      <c r="H174">
        <v>3</v>
      </c>
    </row>
    <row r="175" spans="1:8" x14ac:dyDescent="0.25">
      <c r="A175" t="s">
        <v>197</v>
      </c>
      <c r="B175" t="s">
        <v>18</v>
      </c>
      <c r="C175">
        <v>40</v>
      </c>
      <c r="D175" t="s">
        <v>6</v>
      </c>
      <c r="E175" s="23">
        <v>44990</v>
      </c>
      <c r="F175">
        <v>92</v>
      </c>
      <c r="G175">
        <v>4.7</v>
      </c>
      <c r="H175">
        <v>5</v>
      </c>
    </row>
    <row r="176" spans="1:8" x14ac:dyDescent="0.25">
      <c r="A176" t="s">
        <v>198</v>
      </c>
      <c r="B176" t="s">
        <v>24</v>
      </c>
      <c r="C176">
        <v>86</v>
      </c>
      <c r="D176" t="s">
        <v>9</v>
      </c>
      <c r="E176" s="23">
        <v>44990</v>
      </c>
      <c r="F176">
        <v>27</v>
      </c>
      <c r="G176">
        <v>4.5</v>
      </c>
      <c r="H176">
        <v>5</v>
      </c>
    </row>
    <row r="177" spans="1:8" x14ac:dyDescent="0.25">
      <c r="A177" t="s">
        <v>199</v>
      </c>
      <c r="B177" t="s">
        <v>15</v>
      </c>
      <c r="C177">
        <v>131</v>
      </c>
      <c r="D177" t="s">
        <v>10</v>
      </c>
      <c r="E177" s="23">
        <v>44990</v>
      </c>
      <c r="F177">
        <v>140</v>
      </c>
      <c r="G177">
        <v>4.0999999999999996</v>
      </c>
      <c r="H177">
        <v>4</v>
      </c>
    </row>
    <row r="178" spans="1:8" x14ac:dyDescent="0.25">
      <c r="A178" t="s">
        <v>200</v>
      </c>
      <c r="B178" t="s">
        <v>16</v>
      </c>
      <c r="C178">
        <v>67</v>
      </c>
      <c r="D178" t="s">
        <v>11</v>
      </c>
      <c r="E178" s="23">
        <v>44990</v>
      </c>
      <c r="F178">
        <v>40</v>
      </c>
      <c r="G178">
        <v>5</v>
      </c>
      <c r="H178">
        <v>5</v>
      </c>
    </row>
    <row r="179" spans="1:8" x14ac:dyDescent="0.25">
      <c r="A179" t="s">
        <v>201</v>
      </c>
      <c r="B179" t="s">
        <v>5</v>
      </c>
      <c r="C179">
        <v>71</v>
      </c>
      <c r="D179" t="s">
        <v>6</v>
      </c>
      <c r="E179" s="23">
        <v>44990</v>
      </c>
      <c r="F179">
        <v>102</v>
      </c>
      <c r="G179">
        <v>4.7</v>
      </c>
      <c r="H179">
        <v>5</v>
      </c>
    </row>
    <row r="180" spans="1:8" x14ac:dyDescent="0.25">
      <c r="A180" t="s">
        <v>202</v>
      </c>
      <c r="B180" t="s">
        <v>15</v>
      </c>
      <c r="C180">
        <v>113</v>
      </c>
      <c r="D180" t="s">
        <v>10</v>
      </c>
      <c r="E180" s="23">
        <v>44990</v>
      </c>
      <c r="F180">
        <v>42</v>
      </c>
      <c r="G180">
        <v>4.2</v>
      </c>
      <c r="H180">
        <v>4</v>
      </c>
    </row>
    <row r="181" spans="1:8" x14ac:dyDescent="0.25">
      <c r="A181" t="s">
        <v>203</v>
      </c>
      <c r="B181" t="s">
        <v>7</v>
      </c>
      <c r="C181">
        <v>53</v>
      </c>
      <c r="D181" t="s">
        <v>9</v>
      </c>
      <c r="E181" s="23">
        <v>44991</v>
      </c>
      <c r="F181">
        <v>210</v>
      </c>
      <c r="G181">
        <v>3.9</v>
      </c>
      <c r="H181">
        <v>4</v>
      </c>
    </row>
    <row r="182" spans="1:8" x14ac:dyDescent="0.25">
      <c r="A182" t="s">
        <v>204</v>
      </c>
      <c r="B182" t="s">
        <v>15</v>
      </c>
      <c r="C182">
        <v>153</v>
      </c>
      <c r="D182" t="s">
        <v>11</v>
      </c>
      <c r="E182" s="23">
        <v>44991</v>
      </c>
      <c r="F182">
        <v>34</v>
      </c>
      <c r="G182">
        <v>3</v>
      </c>
      <c r="H182">
        <v>3</v>
      </c>
    </row>
    <row r="183" spans="1:8" x14ac:dyDescent="0.25">
      <c r="A183" t="s">
        <v>205</v>
      </c>
      <c r="B183" t="s">
        <v>16</v>
      </c>
      <c r="C183">
        <v>73</v>
      </c>
      <c r="D183" t="s">
        <v>13</v>
      </c>
      <c r="E183" s="23">
        <v>44991</v>
      </c>
      <c r="F183">
        <v>215</v>
      </c>
      <c r="G183">
        <v>3.6</v>
      </c>
      <c r="H183">
        <v>4</v>
      </c>
    </row>
    <row r="184" spans="1:8" x14ac:dyDescent="0.25">
      <c r="A184" t="s">
        <v>206</v>
      </c>
      <c r="B184" t="s">
        <v>22</v>
      </c>
      <c r="C184">
        <v>62</v>
      </c>
      <c r="D184" t="s">
        <v>13</v>
      </c>
      <c r="E184" s="23">
        <v>44991</v>
      </c>
      <c r="F184">
        <v>32</v>
      </c>
      <c r="G184">
        <v>0.7</v>
      </c>
      <c r="H184">
        <v>1</v>
      </c>
    </row>
    <row r="185" spans="1:8" x14ac:dyDescent="0.25">
      <c r="A185" t="s">
        <v>207</v>
      </c>
      <c r="B185" t="s">
        <v>8</v>
      </c>
      <c r="C185">
        <v>115</v>
      </c>
      <c r="D185" t="s">
        <v>9</v>
      </c>
      <c r="E185" s="23">
        <v>44992</v>
      </c>
      <c r="F185">
        <v>48</v>
      </c>
      <c r="G185">
        <v>4.7</v>
      </c>
      <c r="H185">
        <v>5</v>
      </c>
    </row>
    <row r="186" spans="1:8" x14ac:dyDescent="0.25">
      <c r="A186" t="s">
        <v>208</v>
      </c>
      <c r="B186" t="s">
        <v>15</v>
      </c>
      <c r="C186">
        <v>69</v>
      </c>
      <c r="D186" t="s">
        <v>9</v>
      </c>
      <c r="E186" s="23">
        <v>44992</v>
      </c>
      <c r="F186">
        <v>132</v>
      </c>
      <c r="G186">
        <v>4.5</v>
      </c>
      <c r="H186">
        <v>5</v>
      </c>
    </row>
    <row r="187" spans="1:8" x14ac:dyDescent="0.25">
      <c r="A187" t="s">
        <v>209</v>
      </c>
      <c r="B187" t="s">
        <v>24</v>
      </c>
      <c r="C187">
        <v>103</v>
      </c>
      <c r="D187" t="s">
        <v>10</v>
      </c>
      <c r="E187" s="23">
        <v>44992</v>
      </c>
      <c r="F187">
        <v>172</v>
      </c>
      <c r="G187">
        <v>4.3</v>
      </c>
      <c r="H187">
        <v>4</v>
      </c>
    </row>
    <row r="188" spans="1:8" x14ac:dyDescent="0.25">
      <c r="A188" t="s">
        <v>210</v>
      </c>
      <c r="B188" t="s">
        <v>24</v>
      </c>
      <c r="C188">
        <v>75</v>
      </c>
      <c r="D188" t="s">
        <v>10</v>
      </c>
      <c r="E188" s="23">
        <v>44992</v>
      </c>
      <c r="F188">
        <v>111</v>
      </c>
      <c r="G188">
        <v>3.4</v>
      </c>
      <c r="H188">
        <v>3</v>
      </c>
    </row>
    <row r="189" spans="1:8" x14ac:dyDescent="0.25">
      <c r="A189" t="s">
        <v>211</v>
      </c>
      <c r="B189" t="s">
        <v>14</v>
      </c>
      <c r="C189">
        <v>92</v>
      </c>
      <c r="D189" t="s">
        <v>10</v>
      </c>
      <c r="E189" s="23">
        <v>44992</v>
      </c>
      <c r="F189">
        <v>58</v>
      </c>
      <c r="G189">
        <v>3.6</v>
      </c>
      <c r="H189">
        <v>4</v>
      </c>
    </row>
    <row r="190" spans="1:8" x14ac:dyDescent="0.25">
      <c r="A190" t="s">
        <v>212</v>
      </c>
      <c r="B190" t="s">
        <v>14</v>
      </c>
      <c r="C190">
        <v>41</v>
      </c>
      <c r="D190" t="s">
        <v>13</v>
      </c>
      <c r="E190" s="23">
        <v>44992</v>
      </c>
      <c r="F190">
        <v>68</v>
      </c>
      <c r="G190">
        <v>4</v>
      </c>
      <c r="H190">
        <v>4</v>
      </c>
    </row>
    <row r="191" spans="1:8" x14ac:dyDescent="0.25">
      <c r="A191" t="s">
        <v>213</v>
      </c>
      <c r="B191" t="s">
        <v>24</v>
      </c>
      <c r="C191">
        <v>134</v>
      </c>
      <c r="D191" t="s">
        <v>11</v>
      </c>
      <c r="E191" s="23">
        <v>44992</v>
      </c>
      <c r="F191">
        <v>160</v>
      </c>
      <c r="G191">
        <v>4.5</v>
      </c>
      <c r="H191">
        <v>5</v>
      </c>
    </row>
    <row r="192" spans="1:8" x14ac:dyDescent="0.25">
      <c r="A192" t="s">
        <v>214</v>
      </c>
      <c r="B192" t="s">
        <v>17</v>
      </c>
      <c r="C192">
        <v>80</v>
      </c>
      <c r="D192" t="s">
        <v>6</v>
      </c>
      <c r="E192" s="23">
        <v>44992</v>
      </c>
      <c r="F192">
        <v>45</v>
      </c>
      <c r="G192">
        <v>3</v>
      </c>
      <c r="H192">
        <v>3</v>
      </c>
    </row>
    <row r="193" spans="1:8" x14ac:dyDescent="0.25">
      <c r="A193" t="s">
        <v>215</v>
      </c>
      <c r="B193" t="s">
        <v>5</v>
      </c>
      <c r="C193">
        <v>103</v>
      </c>
      <c r="D193" t="s">
        <v>9</v>
      </c>
      <c r="E193" s="23">
        <v>44993</v>
      </c>
      <c r="F193">
        <v>117</v>
      </c>
      <c r="G193">
        <v>3</v>
      </c>
      <c r="H193">
        <v>3</v>
      </c>
    </row>
    <row r="194" spans="1:8" x14ac:dyDescent="0.25">
      <c r="A194" t="s">
        <v>216</v>
      </c>
      <c r="B194" t="s">
        <v>7</v>
      </c>
      <c r="C194">
        <v>20</v>
      </c>
      <c r="D194" t="s">
        <v>10</v>
      </c>
      <c r="E194" s="23">
        <v>44994</v>
      </c>
      <c r="F194">
        <v>22</v>
      </c>
      <c r="G194">
        <v>1.6</v>
      </c>
      <c r="H194">
        <v>2</v>
      </c>
    </row>
    <row r="195" spans="1:8" x14ac:dyDescent="0.25">
      <c r="A195" t="s">
        <v>217</v>
      </c>
      <c r="B195" t="s">
        <v>5</v>
      </c>
      <c r="C195">
        <v>75</v>
      </c>
      <c r="D195" t="s">
        <v>6</v>
      </c>
      <c r="E195" s="23">
        <v>44994</v>
      </c>
      <c r="F195">
        <v>195</v>
      </c>
      <c r="G195">
        <v>3</v>
      </c>
      <c r="H195">
        <v>3</v>
      </c>
    </row>
    <row r="196" spans="1:8" x14ac:dyDescent="0.25">
      <c r="A196" t="s">
        <v>218</v>
      </c>
      <c r="B196" t="s">
        <v>14</v>
      </c>
      <c r="C196">
        <v>80</v>
      </c>
      <c r="D196" t="s">
        <v>11</v>
      </c>
      <c r="E196" s="23">
        <v>44994</v>
      </c>
      <c r="F196">
        <v>168</v>
      </c>
      <c r="G196">
        <v>3.7</v>
      </c>
      <c r="H196">
        <v>4</v>
      </c>
    </row>
    <row r="197" spans="1:8" x14ac:dyDescent="0.25">
      <c r="A197" t="s">
        <v>219</v>
      </c>
      <c r="B197" t="s">
        <v>15</v>
      </c>
      <c r="C197">
        <v>85</v>
      </c>
      <c r="D197" t="s">
        <v>13</v>
      </c>
      <c r="E197" s="23">
        <v>44995</v>
      </c>
      <c r="F197">
        <v>46</v>
      </c>
      <c r="G197">
        <v>4.9000000000000004</v>
      </c>
      <c r="H197">
        <v>5</v>
      </c>
    </row>
    <row r="198" spans="1:8" x14ac:dyDescent="0.25">
      <c r="A198" t="s">
        <v>220</v>
      </c>
      <c r="B198" t="s">
        <v>12</v>
      </c>
      <c r="C198">
        <v>155</v>
      </c>
      <c r="D198" t="s">
        <v>10</v>
      </c>
      <c r="E198" s="23">
        <v>44995</v>
      </c>
      <c r="F198">
        <v>164</v>
      </c>
      <c r="G198">
        <v>3.4</v>
      </c>
      <c r="H198">
        <v>3</v>
      </c>
    </row>
    <row r="199" spans="1:8" x14ac:dyDescent="0.25">
      <c r="A199" t="s">
        <v>221</v>
      </c>
      <c r="B199" t="s">
        <v>15</v>
      </c>
      <c r="C199">
        <v>63</v>
      </c>
      <c r="D199" t="s">
        <v>13</v>
      </c>
      <c r="E199" s="23">
        <v>44995</v>
      </c>
      <c r="F199">
        <v>48</v>
      </c>
      <c r="G199">
        <v>5</v>
      </c>
      <c r="H199">
        <v>5</v>
      </c>
    </row>
    <row r="200" spans="1:8" x14ac:dyDescent="0.25">
      <c r="A200" t="s">
        <v>222</v>
      </c>
      <c r="B200" t="s">
        <v>23</v>
      </c>
      <c r="C200">
        <v>105</v>
      </c>
      <c r="D200" t="s">
        <v>9</v>
      </c>
      <c r="E200" s="23">
        <v>44995</v>
      </c>
      <c r="F200">
        <v>96</v>
      </c>
      <c r="G200">
        <v>5</v>
      </c>
      <c r="H200">
        <v>5</v>
      </c>
    </row>
    <row r="201" spans="1:8" x14ac:dyDescent="0.25">
      <c r="A201" t="s">
        <v>223</v>
      </c>
      <c r="B201" t="s">
        <v>15</v>
      </c>
      <c r="C201">
        <v>71</v>
      </c>
      <c r="D201" t="s">
        <v>13</v>
      </c>
      <c r="E201" s="23">
        <v>44995</v>
      </c>
      <c r="F201">
        <v>105</v>
      </c>
      <c r="G201">
        <v>4</v>
      </c>
      <c r="H201">
        <v>4</v>
      </c>
    </row>
    <row r="202" spans="1:8" x14ac:dyDescent="0.25">
      <c r="A202" t="s">
        <v>224</v>
      </c>
      <c r="B202" t="s">
        <v>12</v>
      </c>
      <c r="C202">
        <v>100</v>
      </c>
      <c r="D202" t="s">
        <v>13</v>
      </c>
      <c r="E202" s="23">
        <v>44996</v>
      </c>
      <c r="F202">
        <v>44</v>
      </c>
      <c r="G202">
        <v>3.6</v>
      </c>
      <c r="H202">
        <v>4</v>
      </c>
    </row>
    <row r="203" spans="1:8" x14ac:dyDescent="0.25">
      <c r="A203" t="s">
        <v>225</v>
      </c>
      <c r="B203" t="s">
        <v>20</v>
      </c>
      <c r="C203">
        <v>93</v>
      </c>
      <c r="D203" t="s">
        <v>11</v>
      </c>
      <c r="E203" s="23">
        <v>44996</v>
      </c>
      <c r="F203">
        <v>132</v>
      </c>
      <c r="G203">
        <v>3.7</v>
      </c>
      <c r="H203">
        <v>4</v>
      </c>
    </row>
    <row r="204" spans="1:8" x14ac:dyDescent="0.25">
      <c r="A204" t="s">
        <v>226</v>
      </c>
      <c r="B204" t="s">
        <v>23</v>
      </c>
      <c r="C204">
        <v>84</v>
      </c>
      <c r="D204" t="s">
        <v>10</v>
      </c>
      <c r="E204" s="23">
        <v>44996</v>
      </c>
      <c r="F204">
        <v>54</v>
      </c>
      <c r="G204">
        <v>4.2</v>
      </c>
      <c r="H204">
        <v>4</v>
      </c>
    </row>
    <row r="205" spans="1:8" x14ac:dyDescent="0.25">
      <c r="A205" t="s">
        <v>227</v>
      </c>
      <c r="B205" t="s">
        <v>17</v>
      </c>
      <c r="C205">
        <v>56</v>
      </c>
      <c r="D205" t="s">
        <v>6</v>
      </c>
      <c r="E205" s="23">
        <v>44996</v>
      </c>
      <c r="F205">
        <v>129</v>
      </c>
      <c r="G205">
        <v>2.1</v>
      </c>
      <c r="H205">
        <v>2</v>
      </c>
    </row>
    <row r="206" spans="1:8" x14ac:dyDescent="0.25">
      <c r="A206" t="s">
        <v>228</v>
      </c>
      <c r="B206" t="s">
        <v>17</v>
      </c>
      <c r="C206">
        <v>63</v>
      </c>
      <c r="D206" t="s">
        <v>13</v>
      </c>
      <c r="E206" s="23">
        <v>44996</v>
      </c>
      <c r="F206">
        <v>42</v>
      </c>
      <c r="G206">
        <v>4</v>
      </c>
      <c r="H206">
        <v>4</v>
      </c>
    </row>
    <row r="207" spans="1:8" x14ac:dyDescent="0.25">
      <c r="A207" t="s">
        <v>229</v>
      </c>
      <c r="B207" t="s">
        <v>22</v>
      </c>
      <c r="C207">
        <v>83</v>
      </c>
      <c r="D207" t="s">
        <v>13</v>
      </c>
      <c r="E207" s="23">
        <v>44996</v>
      </c>
      <c r="F207">
        <v>42</v>
      </c>
      <c r="G207">
        <v>4.2</v>
      </c>
      <c r="H207">
        <v>4</v>
      </c>
    </row>
    <row r="208" spans="1:8" x14ac:dyDescent="0.25">
      <c r="A208" t="s">
        <v>230</v>
      </c>
      <c r="B208" t="s">
        <v>14</v>
      </c>
      <c r="C208">
        <v>134</v>
      </c>
      <c r="D208" t="s">
        <v>10</v>
      </c>
      <c r="E208" s="23">
        <v>44996</v>
      </c>
      <c r="F208">
        <v>180</v>
      </c>
      <c r="G208">
        <v>3.1</v>
      </c>
      <c r="H208">
        <v>3</v>
      </c>
    </row>
    <row r="209" spans="1:8" x14ac:dyDescent="0.25">
      <c r="A209" t="s">
        <v>231</v>
      </c>
      <c r="B209" t="s">
        <v>8</v>
      </c>
      <c r="C209">
        <v>73</v>
      </c>
      <c r="D209" t="s">
        <v>13</v>
      </c>
      <c r="E209" s="23">
        <v>44997</v>
      </c>
      <c r="F209">
        <v>34</v>
      </c>
      <c r="G209">
        <v>4.8</v>
      </c>
      <c r="H209">
        <v>5</v>
      </c>
    </row>
    <row r="210" spans="1:8" x14ac:dyDescent="0.25">
      <c r="A210" t="s">
        <v>232</v>
      </c>
      <c r="B210" t="s">
        <v>5</v>
      </c>
      <c r="C210">
        <v>6</v>
      </c>
      <c r="D210" t="s">
        <v>6</v>
      </c>
      <c r="E210" s="23">
        <v>44997</v>
      </c>
      <c r="F210">
        <v>29</v>
      </c>
      <c r="G210">
        <v>4.7</v>
      </c>
      <c r="H210">
        <v>5</v>
      </c>
    </row>
    <row r="211" spans="1:8" x14ac:dyDescent="0.25">
      <c r="A211" t="s">
        <v>233</v>
      </c>
      <c r="B211" t="s">
        <v>16</v>
      </c>
      <c r="C211">
        <v>46</v>
      </c>
      <c r="D211" t="s">
        <v>9</v>
      </c>
      <c r="E211" s="23">
        <v>44997</v>
      </c>
      <c r="F211">
        <v>165</v>
      </c>
      <c r="G211">
        <v>3.3</v>
      </c>
      <c r="H211">
        <v>3</v>
      </c>
    </row>
    <row r="212" spans="1:8" x14ac:dyDescent="0.25">
      <c r="A212" t="s">
        <v>234</v>
      </c>
      <c r="B212" t="s">
        <v>5</v>
      </c>
      <c r="C212">
        <v>121</v>
      </c>
      <c r="D212" t="s">
        <v>13</v>
      </c>
      <c r="E212" s="23">
        <v>44998</v>
      </c>
      <c r="F212">
        <v>32</v>
      </c>
      <c r="G212">
        <v>3.7</v>
      </c>
      <c r="H212">
        <v>4</v>
      </c>
    </row>
    <row r="213" spans="1:8" x14ac:dyDescent="0.25">
      <c r="A213" t="s">
        <v>235</v>
      </c>
      <c r="B213" t="s">
        <v>17</v>
      </c>
      <c r="C213">
        <v>61</v>
      </c>
      <c r="D213" t="s">
        <v>11</v>
      </c>
      <c r="E213" s="23">
        <v>44998</v>
      </c>
      <c r="F213">
        <v>160</v>
      </c>
      <c r="G213">
        <v>4.9000000000000004</v>
      </c>
      <c r="H213">
        <v>5</v>
      </c>
    </row>
    <row r="214" spans="1:8" x14ac:dyDescent="0.25">
      <c r="A214" t="s">
        <v>236</v>
      </c>
      <c r="B214" t="s">
        <v>14</v>
      </c>
      <c r="C214">
        <v>144</v>
      </c>
      <c r="D214" t="s">
        <v>10</v>
      </c>
      <c r="E214" s="23">
        <v>44998</v>
      </c>
      <c r="F214">
        <v>140</v>
      </c>
      <c r="G214">
        <v>3.5</v>
      </c>
      <c r="H214">
        <v>4</v>
      </c>
    </row>
    <row r="215" spans="1:8" x14ac:dyDescent="0.25">
      <c r="A215" t="s">
        <v>237</v>
      </c>
      <c r="B215" t="s">
        <v>16</v>
      </c>
      <c r="C215">
        <v>145</v>
      </c>
      <c r="D215" t="s">
        <v>10</v>
      </c>
      <c r="E215" s="23">
        <v>44998</v>
      </c>
      <c r="F215">
        <v>136</v>
      </c>
      <c r="G215">
        <v>4.4000000000000004</v>
      </c>
      <c r="H215">
        <v>4</v>
      </c>
    </row>
    <row r="216" spans="1:8" x14ac:dyDescent="0.25">
      <c r="A216" t="s">
        <v>238</v>
      </c>
      <c r="B216" t="s">
        <v>23</v>
      </c>
      <c r="C216">
        <v>85</v>
      </c>
      <c r="D216" t="s">
        <v>6</v>
      </c>
      <c r="E216" s="23">
        <v>44998</v>
      </c>
      <c r="F216">
        <v>66</v>
      </c>
      <c r="G216">
        <v>2.8</v>
      </c>
      <c r="H216">
        <v>3</v>
      </c>
    </row>
    <row r="217" spans="1:8" x14ac:dyDescent="0.25">
      <c r="A217" t="s">
        <v>239</v>
      </c>
      <c r="B217" t="s">
        <v>16</v>
      </c>
      <c r="C217">
        <v>13</v>
      </c>
      <c r="D217" t="s">
        <v>11</v>
      </c>
      <c r="E217" s="23">
        <v>44999</v>
      </c>
      <c r="F217">
        <v>63</v>
      </c>
      <c r="G217">
        <v>4.0999999999999996</v>
      </c>
      <c r="H217">
        <v>4</v>
      </c>
    </row>
    <row r="218" spans="1:8" x14ac:dyDescent="0.25">
      <c r="A218" t="s">
        <v>240</v>
      </c>
      <c r="B218" t="s">
        <v>20</v>
      </c>
      <c r="C218">
        <v>142</v>
      </c>
      <c r="D218" t="s">
        <v>13</v>
      </c>
      <c r="E218" s="23">
        <v>44999</v>
      </c>
      <c r="F218">
        <v>44</v>
      </c>
      <c r="G218">
        <v>3.5</v>
      </c>
      <c r="H218">
        <v>4</v>
      </c>
    </row>
    <row r="219" spans="1:8" x14ac:dyDescent="0.25">
      <c r="A219" t="s">
        <v>241</v>
      </c>
      <c r="B219" t="s">
        <v>14</v>
      </c>
      <c r="C219">
        <v>28</v>
      </c>
      <c r="D219" t="s">
        <v>9</v>
      </c>
      <c r="E219" s="23">
        <v>44999</v>
      </c>
      <c r="F219">
        <v>78</v>
      </c>
      <c r="G219">
        <v>3.8</v>
      </c>
      <c r="H219">
        <v>4</v>
      </c>
    </row>
    <row r="220" spans="1:8" x14ac:dyDescent="0.25">
      <c r="A220" t="s">
        <v>242</v>
      </c>
      <c r="B220" t="s">
        <v>14</v>
      </c>
      <c r="C220">
        <v>119</v>
      </c>
      <c r="D220" t="s">
        <v>13</v>
      </c>
      <c r="E220" s="23">
        <v>44999</v>
      </c>
      <c r="F220">
        <v>20</v>
      </c>
      <c r="G220">
        <v>3.9</v>
      </c>
      <c r="H220">
        <v>4</v>
      </c>
    </row>
    <row r="221" spans="1:8" x14ac:dyDescent="0.25">
      <c r="A221" t="s">
        <v>243</v>
      </c>
      <c r="B221" t="s">
        <v>5</v>
      </c>
      <c r="C221">
        <v>65</v>
      </c>
      <c r="D221" t="s">
        <v>6</v>
      </c>
      <c r="E221" s="23">
        <v>44999</v>
      </c>
      <c r="F221">
        <v>84</v>
      </c>
      <c r="G221">
        <v>2.5</v>
      </c>
      <c r="H221">
        <v>3</v>
      </c>
    </row>
    <row r="222" spans="1:8" x14ac:dyDescent="0.25">
      <c r="A222" t="s">
        <v>244</v>
      </c>
      <c r="B222" t="s">
        <v>24</v>
      </c>
      <c r="C222">
        <v>68</v>
      </c>
      <c r="D222" t="s">
        <v>6</v>
      </c>
      <c r="E222" s="23">
        <v>44999</v>
      </c>
      <c r="F222">
        <v>32</v>
      </c>
      <c r="G222">
        <v>4.9000000000000004</v>
      </c>
      <c r="H222">
        <v>5</v>
      </c>
    </row>
    <row r="223" spans="1:8" x14ac:dyDescent="0.25">
      <c r="A223" t="s">
        <v>245</v>
      </c>
      <c r="B223" t="s">
        <v>22</v>
      </c>
      <c r="C223">
        <v>72</v>
      </c>
      <c r="D223" t="s">
        <v>9</v>
      </c>
      <c r="E223" s="23">
        <v>44999</v>
      </c>
      <c r="F223">
        <v>132</v>
      </c>
      <c r="G223">
        <v>3.4</v>
      </c>
      <c r="H223">
        <v>3</v>
      </c>
    </row>
    <row r="224" spans="1:8" x14ac:dyDescent="0.25">
      <c r="A224" t="s">
        <v>246</v>
      </c>
      <c r="B224" t="s">
        <v>22</v>
      </c>
      <c r="C224">
        <v>63</v>
      </c>
      <c r="D224" t="s">
        <v>10</v>
      </c>
      <c r="E224" s="23">
        <v>44999</v>
      </c>
      <c r="F224">
        <v>105</v>
      </c>
      <c r="G224">
        <v>3.3</v>
      </c>
      <c r="H224">
        <v>3</v>
      </c>
    </row>
    <row r="225" spans="1:8" x14ac:dyDescent="0.25">
      <c r="A225" t="s">
        <v>247</v>
      </c>
      <c r="B225" t="s">
        <v>12</v>
      </c>
      <c r="C225">
        <v>139</v>
      </c>
      <c r="D225" t="s">
        <v>13</v>
      </c>
      <c r="E225" s="23">
        <v>45000</v>
      </c>
      <c r="F225">
        <v>48</v>
      </c>
      <c r="G225">
        <v>4.7</v>
      </c>
      <c r="H225">
        <v>5</v>
      </c>
    </row>
    <row r="226" spans="1:8" x14ac:dyDescent="0.25">
      <c r="A226" t="s">
        <v>248</v>
      </c>
      <c r="B226" t="s">
        <v>14</v>
      </c>
      <c r="C226">
        <v>59</v>
      </c>
      <c r="D226" t="s">
        <v>13</v>
      </c>
      <c r="E226" s="23">
        <v>45000</v>
      </c>
      <c r="F226">
        <v>64</v>
      </c>
      <c r="G226">
        <v>4</v>
      </c>
      <c r="H226">
        <v>4</v>
      </c>
    </row>
    <row r="227" spans="1:8" x14ac:dyDescent="0.25">
      <c r="A227" t="s">
        <v>249</v>
      </c>
      <c r="B227" t="s">
        <v>7</v>
      </c>
      <c r="C227">
        <v>138</v>
      </c>
      <c r="D227" t="s">
        <v>10</v>
      </c>
      <c r="E227" s="23">
        <v>45000</v>
      </c>
      <c r="F227">
        <v>44</v>
      </c>
      <c r="G227">
        <v>3.8</v>
      </c>
      <c r="H227">
        <v>4</v>
      </c>
    </row>
    <row r="228" spans="1:8" x14ac:dyDescent="0.25">
      <c r="A228" t="s">
        <v>250</v>
      </c>
      <c r="B228" t="s">
        <v>12</v>
      </c>
      <c r="C228">
        <v>47</v>
      </c>
      <c r="D228" t="s">
        <v>9</v>
      </c>
      <c r="E228" s="23">
        <v>45000</v>
      </c>
      <c r="F228">
        <v>120</v>
      </c>
      <c r="G228">
        <v>3.1</v>
      </c>
      <c r="H228">
        <v>3</v>
      </c>
    </row>
    <row r="229" spans="1:8" x14ac:dyDescent="0.25">
      <c r="A229" t="s">
        <v>251</v>
      </c>
      <c r="B229" t="s">
        <v>7</v>
      </c>
      <c r="C229">
        <v>74</v>
      </c>
      <c r="D229" t="s">
        <v>9</v>
      </c>
      <c r="E229" s="23">
        <v>45000</v>
      </c>
      <c r="F229">
        <v>144</v>
      </c>
      <c r="G229">
        <v>4.8</v>
      </c>
      <c r="H229">
        <v>5</v>
      </c>
    </row>
    <row r="230" spans="1:8" x14ac:dyDescent="0.25">
      <c r="A230" t="s">
        <v>252</v>
      </c>
      <c r="B230" t="s">
        <v>22</v>
      </c>
      <c r="C230">
        <v>65</v>
      </c>
      <c r="D230" t="s">
        <v>9</v>
      </c>
      <c r="E230" s="23">
        <v>45000</v>
      </c>
      <c r="F230">
        <v>87</v>
      </c>
      <c r="G230">
        <v>2.7</v>
      </c>
      <c r="H230">
        <v>3</v>
      </c>
    </row>
    <row r="231" spans="1:8" x14ac:dyDescent="0.25">
      <c r="A231" t="s">
        <v>253</v>
      </c>
      <c r="B231" t="s">
        <v>8</v>
      </c>
      <c r="C231">
        <v>123</v>
      </c>
      <c r="D231" t="s">
        <v>6</v>
      </c>
      <c r="E231" s="23">
        <v>45000</v>
      </c>
      <c r="F231">
        <v>36</v>
      </c>
      <c r="G231">
        <v>3.6</v>
      </c>
      <c r="H231">
        <v>4</v>
      </c>
    </row>
    <row r="232" spans="1:8" x14ac:dyDescent="0.25">
      <c r="A232" t="s">
        <v>254</v>
      </c>
      <c r="B232" t="s">
        <v>22</v>
      </c>
      <c r="C232">
        <v>90</v>
      </c>
      <c r="D232" t="s">
        <v>13</v>
      </c>
      <c r="E232" s="23">
        <v>45001</v>
      </c>
      <c r="F232">
        <v>72</v>
      </c>
      <c r="G232">
        <v>4.7</v>
      </c>
      <c r="H232">
        <v>5</v>
      </c>
    </row>
    <row r="233" spans="1:8" x14ac:dyDescent="0.25">
      <c r="A233" t="s">
        <v>255</v>
      </c>
      <c r="B233" t="s">
        <v>17</v>
      </c>
      <c r="C233">
        <v>127</v>
      </c>
      <c r="D233" t="s">
        <v>10</v>
      </c>
      <c r="E233" s="23">
        <v>45001</v>
      </c>
      <c r="F233">
        <v>150</v>
      </c>
      <c r="G233">
        <v>4.4000000000000004</v>
      </c>
      <c r="H233">
        <v>4</v>
      </c>
    </row>
    <row r="234" spans="1:8" x14ac:dyDescent="0.25">
      <c r="A234" t="s">
        <v>256</v>
      </c>
      <c r="B234" t="s">
        <v>21</v>
      </c>
      <c r="C234">
        <v>60</v>
      </c>
      <c r="D234" t="s">
        <v>9</v>
      </c>
      <c r="E234" s="23">
        <v>45001</v>
      </c>
      <c r="F234">
        <v>68</v>
      </c>
      <c r="G234">
        <v>4.3</v>
      </c>
      <c r="H234">
        <v>4</v>
      </c>
    </row>
    <row r="235" spans="1:8" x14ac:dyDescent="0.25">
      <c r="A235" t="s">
        <v>257</v>
      </c>
      <c r="B235" t="s">
        <v>12</v>
      </c>
      <c r="C235">
        <v>94</v>
      </c>
      <c r="D235" t="s">
        <v>10</v>
      </c>
      <c r="E235" s="23">
        <v>45001</v>
      </c>
      <c r="F235">
        <v>99</v>
      </c>
      <c r="G235">
        <v>4.9000000000000004</v>
      </c>
      <c r="H235">
        <v>5</v>
      </c>
    </row>
    <row r="236" spans="1:8" x14ac:dyDescent="0.25">
      <c r="A236" t="s">
        <v>258</v>
      </c>
      <c r="B236" t="s">
        <v>8</v>
      </c>
      <c r="C236">
        <v>54</v>
      </c>
      <c r="D236" t="s">
        <v>9</v>
      </c>
      <c r="E236" s="23">
        <v>45001</v>
      </c>
      <c r="F236">
        <v>26</v>
      </c>
      <c r="G236">
        <v>4.8</v>
      </c>
      <c r="H236">
        <v>5</v>
      </c>
    </row>
    <row r="237" spans="1:8" x14ac:dyDescent="0.25">
      <c r="A237" t="s">
        <v>259</v>
      </c>
      <c r="B237" t="s">
        <v>22</v>
      </c>
      <c r="C237">
        <v>104</v>
      </c>
      <c r="D237" t="s">
        <v>9</v>
      </c>
      <c r="E237" s="23">
        <v>45001</v>
      </c>
      <c r="F237">
        <v>88</v>
      </c>
      <c r="G237">
        <v>3.2</v>
      </c>
      <c r="H237">
        <v>3</v>
      </c>
    </row>
    <row r="238" spans="1:8" x14ac:dyDescent="0.25">
      <c r="A238" t="s">
        <v>260</v>
      </c>
      <c r="B238" t="s">
        <v>15</v>
      </c>
      <c r="C238">
        <v>100</v>
      </c>
      <c r="D238" t="s">
        <v>9</v>
      </c>
      <c r="E238" s="23">
        <v>45001</v>
      </c>
      <c r="F238">
        <v>124</v>
      </c>
      <c r="G238">
        <v>3.4</v>
      </c>
      <c r="H238">
        <v>3</v>
      </c>
    </row>
    <row r="239" spans="1:8" x14ac:dyDescent="0.25">
      <c r="A239" t="s">
        <v>261</v>
      </c>
      <c r="B239" t="s">
        <v>7</v>
      </c>
      <c r="C239">
        <v>84</v>
      </c>
      <c r="D239" t="s">
        <v>9</v>
      </c>
      <c r="E239" s="23">
        <v>45001</v>
      </c>
      <c r="F239">
        <v>72</v>
      </c>
      <c r="G239">
        <v>3.5</v>
      </c>
      <c r="H239">
        <v>4</v>
      </c>
    </row>
    <row r="240" spans="1:8" x14ac:dyDescent="0.25">
      <c r="A240" t="s">
        <v>262</v>
      </c>
      <c r="B240" t="s">
        <v>20</v>
      </c>
      <c r="C240">
        <v>92</v>
      </c>
      <c r="D240" t="s">
        <v>11</v>
      </c>
      <c r="E240" s="23">
        <v>45002</v>
      </c>
      <c r="F240">
        <v>125</v>
      </c>
      <c r="G240">
        <v>4.9000000000000004</v>
      </c>
      <c r="H240">
        <v>5</v>
      </c>
    </row>
    <row r="241" spans="1:8" x14ac:dyDescent="0.25">
      <c r="A241" t="s">
        <v>263</v>
      </c>
      <c r="B241" t="s">
        <v>18</v>
      </c>
      <c r="C241">
        <v>64</v>
      </c>
      <c r="D241" t="s">
        <v>10</v>
      </c>
      <c r="E241" s="23">
        <v>45002</v>
      </c>
      <c r="F241">
        <v>22</v>
      </c>
      <c r="G241">
        <v>4.0999999999999996</v>
      </c>
      <c r="H241">
        <v>4</v>
      </c>
    </row>
    <row r="242" spans="1:8" x14ac:dyDescent="0.25">
      <c r="A242" t="s">
        <v>264</v>
      </c>
      <c r="B242" t="s">
        <v>23</v>
      </c>
      <c r="C242">
        <v>89</v>
      </c>
      <c r="D242" t="s">
        <v>13</v>
      </c>
      <c r="E242" s="23">
        <v>45003</v>
      </c>
      <c r="F242">
        <v>70</v>
      </c>
      <c r="G242">
        <v>4.9000000000000004</v>
      </c>
      <c r="H242">
        <v>5</v>
      </c>
    </row>
    <row r="243" spans="1:8" x14ac:dyDescent="0.25">
      <c r="A243" t="s">
        <v>265</v>
      </c>
      <c r="B243" t="s">
        <v>19</v>
      </c>
      <c r="C243">
        <v>40</v>
      </c>
      <c r="D243" t="s">
        <v>9</v>
      </c>
      <c r="E243" s="23">
        <v>45003</v>
      </c>
      <c r="F243">
        <v>24</v>
      </c>
      <c r="G243">
        <v>4.3</v>
      </c>
      <c r="H243">
        <v>4</v>
      </c>
    </row>
    <row r="244" spans="1:8" x14ac:dyDescent="0.25">
      <c r="A244" t="s">
        <v>266</v>
      </c>
      <c r="B244" t="s">
        <v>14</v>
      </c>
      <c r="C244">
        <v>75</v>
      </c>
      <c r="D244" t="s">
        <v>6</v>
      </c>
      <c r="E244" s="23">
        <v>45003</v>
      </c>
      <c r="F244">
        <v>32</v>
      </c>
      <c r="G244">
        <v>4.0999999999999996</v>
      </c>
      <c r="H244">
        <v>4</v>
      </c>
    </row>
    <row r="245" spans="1:8" x14ac:dyDescent="0.25">
      <c r="A245" t="s">
        <v>267</v>
      </c>
      <c r="B245" t="s">
        <v>17</v>
      </c>
      <c r="C245">
        <v>106</v>
      </c>
      <c r="D245" t="s">
        <v>11</v>
      </c>
      <c r="E245" s="23">
        <v>45003</v>
      </c>
      <c r="F245">
        <v>112</v>
      </c>
      <c r="G245">
        <v>4.4000000000000004</v>
      </c>
      <c r="H245">
        <v>4</v>
      </c>
    </row>
    <row r="246" spans="1:8" x14ac:dyDescent="0.25">
      <c r="A246" t="s">
        <v>268</v>
      </c>
      <c r="B246" t="s">
        <v>18</v>
      </c>
      <c r="C246">
        <v>58</v>
      </c>
      <c r="D246" t="s">
        <v>9</v>
      </c>
      <c r="E246" s="23">
        <v>45004</v>
      </c>
      <c r="F246">
        <v>43</v>
      </c>
      <c r="G246">
        <v>4.5</v>
      </c>
      <c r="H246">
        <v>5</v>
      </c>
    </row>
    <row r="247" spans="1:8" x14ac:dyDescent="0.25">
      <c r="A247" t="s">
        <v>269</v>
      </c>
      <c r="B247" t="s">
        <v>7</v>
      </c>
      <c r="C247">
        <v>84</v>
      </c>
      <c r="D247" t="s">
        <v>11</v>
      </c>
      <c r="E247" s="23">
        <v>45004</v>
      </c>
      <c r="F247">
        <v>22</v>
      </c>
      <c r="G247">
        <v>3.5</v>
      </c>
      <c r="H247">
        <v>4</v>
      </c>
    </row>
    <row r="248" spans="1:8" x14ac:dyDescent="0.25">
      <c r="A248" t="s">
        <v>270</v>
      </c>
      <c r="B248" t="s">
        <v>22</v>
      </c>
      <c r="C248">
        <v>140</v>
      </c>
      <c r="D248" t="s">
        <v>11</v>
      </c>
      <c r="E248" s="23">
        <v>45004</v>
      </c>
      <c r="F248">
        <v>93</v>
      </c>
      <c r="G248">
        <v>4.4000000000000004</v>
      </c>
      <c r="H248">
        <v>4</v>
      </c>
    </row>
    <row r="249" spans="1:8" x14ac:dyDescent="0.25">
      <c r="A249" t="s">
        <v>271</v>
      </c>
      <c r="B249" t="s">
        <v>18</v>
      </c>
      <c r="C249">
        <v>67</v>
      </c>
      <c r="D249" t="s">
        <v>11</v>
      </c>
      <c r="E249" s="23">
        <v>45004</v>
      </c>
      <c r="F249">
        <v>45</v>
      </c>
      <c r="G249">
        <v>3.5</v>
      </c>
      <c r="H249">
        <v>4</v>
      </c>
    </row>
    <row r="250" spans="1:8" x14ac:dyDescent="0.25">
      <c r="A250" t="s">
        <v>272</v>
      </c>
      <c r="B250" t="s">
        <v>12</v>
      </c>
      <c r="C250">
        <v>126</v>
      </c>
      <c r="D250" t="s">
        <v>11</v>
      </c>
      <c r="E250" s="23">
        <v>45005</v>
      </c>
      <c r="F250">
        <v>96</v>
      </c>
      <c r="G250">
        <v>3.8</v>
      </c>
      <c r="H250">
        <v>4</v>
      </c>
    </row>
    <row r="251" spans="1:8" x14ac:dyDescent="0.25">
      <c r="A251" t="s">
        <v>273</v>
      </c>
      <c r="B251" t="s">
        <v>12</v>
      </c>
      <c r="C251">
        <v>89</v>
      </c>
      <c r="D251" t="s">
        <v>9</v>
      </c>
      <c r="E251" s="23">
        <v>45005</v>
      </c>
      <c r="F251">
        <v>96</v>
      </c>
      <c r="G251">
        <v>3.3</v>
      </c>
      <c r="H251">
        <v>3</v>
      </c>
    </row>
    <row r="252" spans="1:8" x14ac:dyDescent="0.25">
      <c r="A252" t="s">
        <v>274</v>
      </c>
      <c r="B252" t="s">
        <v>23</v>
      </c>
      <c r="C252">
        <v>56</v>
      </c>
      <c r="D252" t="s">
        <v>10</v>
      </c>
      <c r="E252" s="23">
        <v>45005</v>
      </c>
      <c r="F252">
        <v>31</v>
      </c>
      <c r="G252">
        <v>4.4000000000000004</v>
      </c>
      <c r="H252">
        <v>4</v>
      </c>
    </row>
    <row r="253" spans="1:8" x14ac:dyDescent="0.25">
      <c r="A253" t="s">
        <v>275</v>
      </c>
      <c r="B253" t="s">
        <v>8</v>
      </c>
      <c r="C253">
        <v>48</v>
      </c>
      <c r="D253" t="s">
        <v>9</v>
      </c>
      <c r="E253" s="23">
        <v>45005</v>
      </c>
      <c r="F253">
        <v>200</v>
      </c>
      <c r="G253">
        <v>3.9</v>
      </c>
      <c r="H253">
        <v>4</v>
      </c>
    </row>
    <row r="254" spans="1:8" x14ac:dyDescent="0.25">
      <c r="A254" t="s">
        <v>276</v>
      </c>
      <c r="B254" t="s">
        <v>12</v>
      </c>
      <c r="C254">
        <v>55</v>
      </c>
      <c r="D254" t="s">
        <v>10</v>
      </c>
      <c r="E254" s="23">
        <v>45005</v>
      </c>
      <c r="F254">
        <v>99</v>
      </c>
      <c r="G254">
        <v>2.7</v>
      </c>
      <c r="H254">
        <v>3</v>
      </c>
    </row>
    <row r="255" spans="1:8" x14ac:dyDescent="0.25">
      <c r="A255" t="s">
        <v>277</v>
      </c>
      <c r="B255" t="s">
        <v>21</v>
      </c>
      <c r="C255">
        <v>88</v>
      </c>
      <c r="D255" t="s">
        <v>6</v>
      </c>
      <c r="E255" s="23">
        <v>45005</v>
      </c>
      <c r="F255">
        <v>144</v>
      </c>
      <c r="G255">
        <v>2.9</v>
      </c>
      <c r="H255">
        <v>3</v>
      </c>
    </row>
    <row r="256" spans="1:8" x14ac:dyDescent="0.25">
      <c r="A256" t="s">
        <v>278</v>
      </c>
      <c r="B256" t="s">
        <v>23</v>
      </c>
      <c r="C256">
        <v>102</v>
      </c>
      <c r="D256" t="s">
        <v>11</v>
      </c>
      <c r="E256" s="23">
        <v>45006</v>
      </c>
      <c r="F256">
        <v>81</v>
      </c>
      <c r="G256">
        <v>4</v>
      </c>
      <c r="H256">
        <v>4</v>
      </c>
    </row>
    <row r="257" spans="1:8" x14ac:dyDescent="0.25">
      <c r="A257" t="s">
        <v>279</v>
      </c>
      <c r="B257" t="s">
        <v>21</v>
      </c>
      <c r="C257">
        <v>155</v>
      </c>
      <c r="D257" t="s">
        <v>6</v>
      </c>
      <c r="E257" s="23">
        <v>45006</v>
      </c>
      <c r="F257">
        <v>70</v>
      </c>
      <c r="G257">
        <v>4.4000000000000004</v>
      </c>
      <c r="H257">
        <v>4</v>
      </c>
    </row>
    <row r="258" spans="1:8" x14ac:dyDescent="0.25">
      <c r="A258" t="s">
        <v>280</v>
      </c>
      <c r="B258" t="s">
        <v>12</v>
      </c>
      <c r="C258">
        <v>63</v>
      </c>
      <c r="D258" t="s">
        <v>6</v>
      </c>
      <c r="E258" s="23">
        <v>45006</v>
      </c>
      <c r="F258">
        <v>148</v>
      </c>
      <c r="G258">
        <v>5</v>
      </c>
      <c r="H258">
        <v>5</v>
      </c>
    </row>
    <row r="259" spans="1:8" x14ac:dyDescent="0.25">
      <c r="A259" t="s">
        <v>281</v>
      </c>
      <c r="B259" t="s">
        <v>15</v>
      </c>
      <c r="C259">
        <v>59</v>
      </c>
      <c r="D259" t="s">
        <v>11</v>
      </c>
      <c r="E259" s="23">
        <v>45006</v>
      </c>
      <c r="F259">
        <v>215</v>
      </c>
      <c r="G259">
        <v>4.0999999999999996</v>
      </c>
      <c r="H259">
        <v>4</v>
      </c>
    </row>
    <row r="260" spans="1:8" x14ac:dyDescent="0.25">
      <c r="A260" t="s">
        <v>282</v>
      </c>
      <c r="B260" t="s">
        <v>15</v>
      </c>
      <c r="C260">
        <v>144</v>
      </c>
      <c r="D260" t="s">
        <v>9</v>
      </c>
      <c r="E260" s="23">
        <v>45006</v>
      </c>
      <c r="F260">
        <v>124</v>
      </c>
      <c r="G260">
        <v>4.4000000000000004</v>
      </c>
      <c r="H260">
        <v>4</v>
      </c>
    </row>
    <row r="261" spans="1:8" x14ac:dyDescent="0.25">
      <c r="A261" t="s">
        <v>283</v>
      </c>
      <c r="B261" t="s">
        <v>7</v>
      </c>
      <c r="C261">
        <v>113</v>
      </c>
      <c r="D261" t="s">
        <v>13</v>
      </c>
      <c r="E261" s="23">
        <v>45006</v>
      </c>
      <c r="F261">
        <v>168</v>
      </c>
      <c r="G261">
        <v>4.0999999999999996</v>
      </c>
      <c r="H261">
        <v>4</v>
      </c>
    </row>
    <row r="262" spans="1:8" x14ac:dyDescent="0.25">
      <c r="A262" t="s">
        <v>284</v>
      </c>
      <c r="B262" t="s">
        <v>16</v>
      </c>
      <c r="C262">
        <v>154</v>
      </c>
      <c r="D262" t="s">
        <v>10</v>
      </c>
      <c r="E262" s="23">
        <v>45006</v>
      </c>
      <c r="F262">
        <v>90</v>
      </c>
      <c r="G262">
        <v>4.5</v>
      </c>
      <c r="H262">
        <v>5</v>
      </c>
    </row>
    <row r="263" spans="1:8" x14ac:dyDescent="0.25">
      <c r="A263" t="s">
        <v>285</v>
      </c>
      <c r="B263" t="s">
        <v>16</v>
      </c>
      <c r="C263">
        <v>58</v>
      </c>
      <c r="D263" t="s">
        <v>11</v>
      </c>
      <c r="E263" s="23">
        <v>45007</v>
      </c>
      <c r="F263">
        <v>176</v>
      </c>
      <c r="G263">
        <v>4.2</v>
      </c>
      <c r="H263">
        <v>4</v>
      </c>
    </row>
    <row r="264" spans="1:8" x14ac:dyDescent="0.25">
      <c r="A264" t="s">
        <v>286</v>
      </c>
      <c r="B264" t="s">
        <v>8</v>
      </c>
      <c r="C264">
        <v>63</v>
      </c>
      <c r="D264" t="s">
        <v>6</v>
      </c>
      <c r="E264" s="23">
        <v>45007</v>
      </c>
      <c r="F264">
        <v>87</v>
      </c>
      <c r="G264">
        <v>4.5999999999999996</v>
      </c>
      <c r="H264">
        <v>5</v>
      </c>
    </row>
    <row r="265" spans="1:8" x14ac:dyDescent="0.25">
      <c r="A265" t="s">
        <v>287</v>
      </c>
      <c r="B265" t="s">
        <v>22</v>
      </c>
      <c r="C265">
        <v>59</v>
      </c>
      <c r="D265" t="s">
        <v>9</v>
      </c>
      <c r="E265" s="23">
        <v>45007</v>
      </c>
      <c r="F265">
        <v>128</v>
      </c>
      <c r="G265">
        <v>4.5</v>
      </c>
      <c r="H265">
        <v>5</v>
      </c>
    </row>
    <row r="266" spans="1:8" x14ac:dyDescent="0.25">
      <c r="A266" t="s">
        <v>288</v>
      </c>
      <c r="B266" t="s">
        <v>5</v>
      </c>
      <c r="C266">
        <v>129</v>
      </c>
      <c r="D266" t="s">
        <v>6</v>
      </c>
      <c r="E266" s="23">
        <v>45007</v>
      </c>
      <c r="F266">
        <v>120</v>
      </c>
      <c r="G266">
        <v>4.0999999999999996</v>
      </c>
      <c r="H266">
        <v>4</v>
      </c>
    </row>
    <row r="267" spans="1:8" x14ac:dyDescent="0.25">
      <c r="A267" t="s">
        <v>289</v>
      </c>
      <c r="B267" t="s">
        <v>24</v>
      </c>
      <c r="C267">
        <v>101</v>
      </c>
      <c r="D267" t="s">
        <v>13</v>
      </c>
      <c r="E267" s="23">
        <v>45007</v>
      </c>
      <c r="F267">
        <v>130</v>
      </c>
      <c r="G267">
        <v>4.8</v>
      </c>
      <c r="H267">
        <v>5</v>
      </c>
    </row>
    <row r="268" spans="1:8" x14ac:dyDescent="0.25">
      <c r="A268" t="s">
        <v>290</v>
      </c>
      <c r="B268" t="s">
        <v>19</v>
      </c>
      <c r="C268">
        <v>154</v>
      </c>
      <c r="D268" t="s">
        <v>9</v>
      </c>
      <c r="E268" s="23">
        <v>45007</v>
      </c>
      <c r="F268">
        <v>172</v>
      </c>
      <c r="G268">
        <v>3.1</v>
      </c>
      <c r="H268">
        <v>3</v>
      </c>
    </row>
    <row r="269" spans="1:8" x14ac:dyDescent="0.25">
      <c r="A269" t="s">
        <v>291</v>
      </c>
      <c r="B269" t="s">
        <v>18</v>
      </c>
      <c r="C269">
        <v>131</v>
      </c>
      <c r="D269" t="s">
        <v>9</v>
      </c>
      <c r="E269" s="23">
        <v>45007</v>
      </c>
      <c r="F269">
        <v>58</v>
      </c>
      <c r="G269">
        <v>4.9000000000000004</v>
      </c>
      <c r="H269">
        <v>5</v>
      </c>
    </row>
    <row r="270" spans="1:8" x14ac:dyDescent="0.25">
      <c r="A270" t="s">
        <v>292</v>
      </c>
      <c r="B270" t="s">
        <v>15</v>
      </c>
      <c r="C270">
        <v>111</v>
      </c>
      <c r="D270" t="s">
        <v>13</v>
      </c>
      <c r="E270" s="23">
        <v>45008</v>
      </c>
      <c r="F270">
        <v>86</v>
      </c>
      <c r="G270">
        <v>4.0999999999999996</v>
      </c>
      <c r="H270">
        <v>4</v>
      </c>
    </row>
    <row r="271" spans="1:8" x14ac:dyDescent="0.25">
      <c r="A271" t="s">
        <v>293</v>
      </c>
      <c r="B271" t="s">
        <v>16</v>
      </c>
      <c r="C271">
        <v>142</v>
      </c>
      <c r="D271" t="s">
        <v>13</v>
      </c>
      <c r="E271" s="23">
        <v>45009</v>
      </c>
      <c r="F271">
        <v>31</v>
      </c>
      <c r="G271">
        <v>4.4000000000000004</v>
      </c>
      <c r="H271">
        <v>4</v>
      </c>
    </row>
    <row r="272" spans="1:8" x14ac:dyDescent="0.25">
      <c r="A272" t="s">
        <v>294</v>
      </c>
      <c r="B272" t="s">
        <v>23</v>
      </c>
      <c r="C272">
        <v>93</v>
      </c>
      <c r="D272" t="s">
        <v>6</v>
      </c>
      <c r="E272" s="23">
        <v>45009</v>
      </c>
      <c r="F272">
        <v>72</v>
      </c>
      <c r="G272">
        <v>4.4000000000000004</v>
      </c>
      <c r="H272">
        <v>4</v>
      </c>
    </row>
    <row r="273" spans="1:8" x14ac:dyDescent="0.25">
      <c r="A273" t="s">
        <v>295</v>
      </c>
      <c r="B273" t="s">
        <v>16</v>
      </c>
      <c r="C273">
        <v>125</v>
      </c>
      <c r="D273" t="s">
        <v>10</v>
      </c>
      <c r="E273" s="23">
        <v>45010</v>
      </c>
      <c r="F273">
        <v>27</v>
      </c>
      <c r="G273">
        <v>3</v>
      </c>
      <c r="H273">
        <v>3</v>
      </c>
    </row>
    <row r="274" spans="1:8" x14ac:dyDescent="0.25">
      <c r="A274" t="s">
        <v>296</v>
      </c>
      <c r="B274" t="s">
        <v>5</v>
      </c>
      <c r="C274">
        <v>76</v>
      </c>
      <c r="D274" t="s">
        <v>9</v>
      </c>
      <c r="E274" s="23">
        <v>45010</v>
      </c>
      <c r="F274">
        <v>110</v>
      </c>
      <c r="G274">
        <v>4.4000000000000004</v>
      </c>
      <c r="H274">
        <v>4</v>
      </c>
    </row>
    <row r="275" spans="1:8" x14ac:dyDescent="0.25">
      <c r="A275" t="s">
        <v>297</v>
      </c>
      <c r="B275" t="s">
        <v>7</v>
      </c>
      <c r="C275">
        <v>69</v>
      </c>
      <c r="D275" t="s">
        <v>6</v>
      </c>
      <c r="E275" s="23">
        <v>45010</v>
      </c>
      <c r="F275">
        <v>126</v>
      </c>
      <c r="G275">
        <v>3.7</v>
      </c>
      <c r="H275">
        <v>4</v>
      </c>
    </row>
    <row r="276" spans="1:8" x14ac:dyDescent="0.25">
      <c r="A276" t="s">
        <v>298</v>
      </c>
      <c r="B276" t="s">
        <v>22</v>
      </c>
      <c r="C276">
        <v>149</v>
      </c>
      <c r="D276" t="s">
        <v>10</v>
      </c>
      <c r="E276" s="23">
        <v>45010</v>
      </c>
      <c r="F276">
        <v>60</v>
      </c>
      <c r="G276">
        <v>3.9</v>
      </c>
      <c r="H276">
        <v>4</v>
      </c>
    </row>
    <row r="277" spans="1:8" x14ac:dyDescent="0.25">
      <c r="A277" t="s">
        <v>299</v>
      </c>
      <c r="B277" t="s">
        <v>16</v>
      </c>
      <c r="C277">
        <v>57</v>
      </c>
      <c r="D277" t="s">
        <v>6</v>
      </c>
      <c r="E277" s="23">
        <v>45010</v>
      </c>
      <c r="F277">
        <v>35</v>
      </c>
      <c r="G277">
        <v>3.5</v>
      </c>
      <c r="H277">
        <v>4</v>
      </c>
    </row>
    <row r="278" spans="1:8" x14ac:dyDescent="0.25">
      <c r="A278" t="s">
        <v>300</v>
      </c>
      <c r="B278" t="s">
        <v>12</v>
      </c>
      <c r="C278">
        <v>113</v>
      </c>
      <c r="D278" t="s">
        <v>9</v>
      </c>
      <c r="E278" s="23">
        <v>45010</v>
      </c>
      <c r="F278">
        <v>81</v>
      </c>
      <c r="G278">
        <v>3.5</v>
      </c>
      <c r="H278">
        <v>4</v>
      </c>
    </row>
    <row r="279" spans="1:8" x14ac:dyDescent="0.25">
      <c r="A279" t="s">
        <v>301</v>
      </c>
      <c r="B279" t="s">
        <v>20</v>
      </c>
      <c r="C279">
        <v>160</v>
      </c>
      <c r="D279" t="s">
        <v>10</v>
      </c>
      <c r="E279" s="23">
        <v>45010</v>
      </c>
      <c r="F279">
        <v>116</v>
      </c>
      <c r="G279">
        <v>3.4</v>
      </c>
      <c r="H279">
        <v>3</v>
      </c>
    </row>
    <row r="280" spans="1:8" x14ac:dyDescent="0.25">
      <c r="A280" t="s">
        <v>302</v>
      </c>
      <c r="B280" t="s">
        <v>8</v>
      </c>
      <c r="C280">
        <v>158</v>
      </c>
      <c r="D280" t="s">
        <v>11</v>
      </c>
      <c r="E280" s="23">
        <v>45010</v>
      </c>
      <c r="F280">
        <v>60</v>
      </c>
      <c r="G280">
        <v>4.5</v>
      </c>
      <c r="H280">
        <v>5</v>
      </c>
    </row>
    <row r="281" spans="1:8" x14ac:dyDescent="0.25">
      <c r="A281" t="s">
        <v>303</v>
      </c>
      <c r="B281" t="s">
        <v>7</v>
      </c>
      <c r="C281">
        <v>77</v>
      </c>
      <c r="D281" t="s">
        <v>10</v>
      </c>
      <c r="E281" s="23">
        <v>45011</v>
      </c>
      <c r="F281">
        <v>130</v>
      </c>
      <c r="G281">
        <v>4.2</v>
      </c>
      <c r="H281">
        <v>4</v>
      </c>
    </row>
    <row r="282" spans="1:8" x14ac:dyDescent="0.25">
      <c r="A282" t="s">
        <v>304</v>
      </c>
      <c r="B282" t="s">
        <v>14</v>
      </c>
      <c r="C282">
        <v>118</v>
      </c>
      <c r="D282" t="s">
        <v>13</v>
      </c>
      <c r="E282" s="23">
        <v>45011</v>
      </c>
      <c r="F282">
        <v>99</v>
      </c>
      <c r="G282">
        <v>5</v>
      </c>
      <c r="H282">
        <v>5</v>
      </c>
    </row>
    <row r="283" spans="1:8" x14ac:dyDescent="0.25">
      <c r="A283" t="s">
        <v>305</v>
      </c>
      <c r="B283" t="s">
        <v>19</v>
      </c>
      <c r="C283">
        <v>75</v>
      </c>
      <c r="D283" t="s">
        <v>9</v>
      </c>
      <c r="E283" s="23">
        <v>45011</v>
      </c>
      <c r="F283">
        <v>135</v>
      </c>
      <c r="G283">
        <v>4.7</v>
      </c>
      <c r="H283">
        <v>5</v>
      </c>
    </row>
    <row r="284" spans="1:8" x14ac:dyDescent="0.25">
      <c r="A284" t="s">
        <v>306</v>
      </c>
      <c r="B284" t="s">
        <v>12</v>
      </c>
      <c r="C284">
        <v>103</v>
      </c>
      <c r="D284" t="s">
        <v>10</v>
      </c>
      <c r="E284" s="23">
        <v>45011</v>
      </c>
      <c r="F284">
        <v>42</v>
      </c>
      <c r="G284">
        <v>2.8</v>
      </c>
      <c r="H284">
        <v>3</v>
      </c>
    </row>
    <row r="285" spans="1:8" x14ac:dyDescent="0.25">
      <c r="A285" t="s">
        <v>307</v>
      </c>
      <c r="B285" t="s">
        <v>7</v>
      </c>
      <c r="C285">
        <v>116</v>
      </c>
      <c r="D285" t="s">
        <v>13</v>
      </c>
      <c r="E285" s="23">
        <v>45012</v>
      </c>
      <c r="F285">
        <v>63</v>
      </c>
      <c r="G285">
        <v>3.4</v>
      </c>
      <c r="H285">
        <v>3</v>
      </c>
    </row>
    <row r="286" spans="1:8" x14ac:dyDescent="0.25">
      <c r="A286" t="s">
        <v>308</v>
      </c>
      <c r="B286" t="s">
        <v>15</v>
      </c>
      <c r="C286">
        <v>61</v>
      </c>
      <c r="D286" t="s">
        <v>11</v>
      </c>
      <c r="E286" s="23">
        <v>45012</v>
      </c>
      <c r="F286">
        <v>140</v>
      </c>
      <c r="G286">
        <v>1.8</v>
      </c>
      <c r="H286">
        <v>2</v>
      </c>
    </row>
    <row r="287" spans="1:8" x14ac:dyDescent="0.25">
      <c r="A287" t="s">
        <v>309</v>
      </c>
      <c r="B287" t="s">
        <v>16</v>
      </c>
      <c r="C287">
        <v>126</v>
      </c>
      <c r="D287" t="s">
        <v>9</v>
      </c>
      <c r="E287" s="23">
        <v>45012</v>
      </c>
      <c r="F287">
        <v>128</v>
      </c>
      <c r="G287">
        <v>4.2</v>
      </c>
      <c r="H287">
        <v>4</v>
      </c>
    </row>
    <row r="288" spans="1:8" x14ac:dyDescent="0.25">
      <c r="A288" t="s">
        <v>310</v>
      </c>
      <c r="B288" t="s">
        <v>24</v>
      </c>
      <c r="C288">
        <v>141</v>
      </c>
      <c r="D288" t="s">
        <v>6</v>
      </c>
      <c r="E288" s="23">
        <v>45012</v>
      </c>
      <c r="F288">
        <v>80</v>
      </c>
      <c r="G288">
        <v>4.4000000000000004</v>
      </c>
      <c r="H288">
        <v>4</v>
      </c>
    </row>
    <row r="289" spans="1:8" x14ac:dyDescent="0.25">
      <c r="A289" t="s">
        <v>311</v>
      </c>
      <c r="B289" t="s">
        <v>8</v>
      </c>
      <c r="C289">
        <v>95</v>
      </c>
      <c r="D289" t="s">
        <v>13</v>
      </c>
      <c r="E289" s="23">
        <v>45012</v>
      </c>
      <c r="F289">
        <v>28</v>
      </c>
      <c r="G289">
        <v>2.7</v>
      </c>
      <c r="H289">
        <v>3</v>
      </c>
    </row>
    <row r="290" spans="1:8" x14ac:dyDescent="0.25">
      <c r="A290" t="s">
        <v>312</v>
      </c>
      <c r="B290" t="s">
        <v>19</v>
      </c>
      <c r="C290">
        <v>39</v>
      </c>
      <c r="D290" t="s">
        <v>11</v>
      </c>
      <c r="E290" s="23">
        <v>45013</v>
      </c>
      <c r="F290">
        <v>81</v>
      </c>
      <c r="G290">
        <v>5</v>
      </c>
      <c r="H290">
        <v>5</v>
      </c>
    </row>
    <row r="291" spans="1:8" x14ac:dyDescent="0.25">
      <c r="A291" t="s">
        <v>313</v>
      </c>
      <c r="B291" t="s">
        <v>12</v>
      </c>
      <c r="C291">
        <v>127</v>
      </c>
      <c r="D291" t="s">
        <v>9</v>
      </c>
      <c r="E291" s="23">
        <v>45013</v>
      </c>
      <c r="F291">
        <v>99</v>
      </c>
      <c r="G291">
        <v>3.9</v>
      </c>
      <c r="H291">
        <v>4</v>
      </c>
    </row>
    <row r="292" spans="1:8" x14ac:dyDescent="0.25">
      <c r="A292" t="s">
        <v>314</v>
      </c>
      <c r="B292" t="s">
        <v>15</v>
      </c>
      <c r="C292">
        <v>78</v>
      </c>
      <c r="D292" t="s">
        <v>9</v>
      </c>
      <c r="E292" s="23">
        <v>45013</v>
      </c>
      <c r="F292">
        <v>43</v>
      </c>
      <c r="G292">
        <v>3.8</v>
      </c>
      <c r="H292">
        <v>4</v>
      </c>
    </row>
    <row r="293" spans="1:8" x14ac:dyDescent="0.25">
      <c r="A293" t="s">
        <v>315</v>
      </c>
      <c r="B293" t="s">
        <v>14</v>
      </c>
      <c r="C293">
        <v>40</v>
      </c>
      <c r="D293" t="s">
        <v>9</v>
      </c>
      <c r="E293" s="23">
        <v>45013</v>
      </c>
      <c r="F293">
        <v>34</v>
      </c>
      <c r="G293">
        <v>4.5999999999999996</v>
      </c>
      <c r="H293">
        <v>5</v>
      </c>
    </row>
    <row r="294" spans="1:8" x14ac:dyDescent="0.25">
      <c r="A294" t="s">
        <v>316</v>
      </c>
      <c r="B294" t="s">
        <v>15</v>
      </c>
      <c r="C294">
        <v>56</v>
      </c>
      <c r="D294" t="s">
        <v>11</v>
      </c>
      <c r="E294" s="23">
        <v>45013</v>
      </c>
      <c r="F294">
        <v>225</v>
      </c>
      <c r="G294">
        <v>4.5999999999999996</v>
      </c>
      <c r="H294">
        <v>5</v>
      </c>
    </row>
    <row r="295" spans="1:8" x14ac:dyDescent="0.25">
      <c r="A295" t="s">
        <v>317</v>
      </c>
      <c r="B295" t="s">
        <v>19</v>
      </c>
      <c r="C295">
        <v>59</v>
      </c>
      <c r="D295" t="s">
        <v>6</v>
      </c>
      <c r="E295" s="23">
        <v>45013</v>
      </c>
      <c r="F295">
        <v>210</v>
      </c>
      <c r="G295">
        <v>4.5</v>
      </c>
      <c r="H295">
        <v>5</v>
      </c>
    </row>
    <row r="296" spans="1:8" x14ac:dyDescent="0.25">
      <c r="A296" t="s">
        <v>318</v>
      </c>
      <c r="B296" t="s">
        <v>16</v>
      </c>
      <c r="C296">
        <v>30</v>
      </c>
      <c r="D296" t="s">
        <v>9</v>
      </c>
      <c r="E296" s="23">
        <v>45013</v>
      </c>
      <c r="F296">
        <v>168</v>
      </c>
      <c r="G296">
        <v>4.2</v>
      </c>
      <c r="H296">
        <v>4</v>
      </c>
    </row>
    <row r="297" spans="1:8" x14ac:dyDescent="0.25">
      <c r="A297" t="s">
        <v>319</v>
      </c>
      <c r="B297" t="s">
        <v>14</v>
      </c>
      <c r="C297">
        <v>63</v>
      </c>
      <c r="D297" t="s">
        <v>10</v>
      </c>
      <c r="E297" s="23">
        <v>45014</v>
      </c>
      <c r="F297">
        <v>82</v>
      </c>
      <c r="G297">
        <v>4.5</v>
      </c>
      <c r="H297">
        <v>5</v>
      </c>
    </row>
    <row r="298" spans="1:8" x14ac:dyDescent="0.25">
      <c r="A298" t="s">
        <v>320</v>
      </c>
      <c r="B298" t="s">
        <v>23</v>
      </c>
      <c r="C298">
        <v>56</v>
      </c>
      <c r="D298" t="s">
        <v>13</v>
      </c>
      <c r="E298" s="23">
        <v>45014</v>
      </c>
      <c r="F298">
        <v>88</v>
      </c>
      <c r="G298">
        <v>4.0999999999999996</v>
      </c>
      <c r="H298">
        <v>4</v>
      </c>
    </row>
    <row r="299" spans="1:8" x14ac:dyDescent="0.25">
      <c r="A299" t="s">
        <v>321</v>
      </c>
      <c r="B299" t="s">
        <v>5</v>
      </c>
      <c r="C299">
        <v>95</v>
      </c>
      <c r="D299" t="s">
        <v>10</v>
      </c>
      <c r="E299" s="23">
        <v>45014</v>
      </c>
      <c r="F299">
        <v>111</v>
      </c>
      <c r="G299">
        <v>3.3</v>
      </c>
      <c r="H299">
        <v>3</v>
      </c>
    </row>
    <row r="300" spans="1:8" x14ac:dyDescent="0.25">
      <c r="A300" t="s">
        <v>322</v>
      </c>
      <c r="B300" t="s">
        <v>17</v>
      </c>
      <c r="C300">
        <v>128</v>
      </c>
      <c r="D300" t="s">
        <v>6</v>
      </c>
      <c r="E300" s="23">
        <v>45014</v>
      </c>
      <c r="F300">
        <v>60</v>
      </c>
      <c r="G300">
        <v>3.8</v>
      </c>
      <c r="H300">
        <v>4</v>
      </c>
    </row>
    <row r="301" spans="1:8" x14ac:dyDescent="0.25">
      <c r="A301" t="s">
        <v>323</v>
      </c>
      <c r="B301" t="s">
        <v>8</v>
      </c>
      <c r="C301">
        <v>49</v>
      </c>
      <c r="D301" t="s">
        <v>10</v>
      </c>
      <c r="E301" s="23">
        <v>45014</v>
      </c>
      <c r="F301">
        <v>80</v>
      </c>
      <c r="G301">
        <v>3</v>
      </c>
      <c r="H301">
        <v>3</v>
      </c>
    </row>
    <row r="302" spans="1:8" x14ac:dyDescent="0.25">
      <c r="A302" t="s">
        <v>324</v>
      </c>
      <c r="B302" t="s">
        <v>17</v>
      </c>
      <c r="C302">
        <v>89</v>
      </c>
      <c r="D302" t="s">
        <v>11</v>
      </c>
      <c r="E302" s="23">
        <v>45016</v>
      </c>
      <c r="F302">
        <v>90</v>
      </c>
      <c r="G302">
        <v>4.5999999999999996</v>
      </c>
      <c r="H302">
        <v>5</v>
      </c>
    </row>
    <row r="303" spans="1:8" x14ac:dyDescent="0.25">
      <c r="A303" t="s">
        <v>325</v>
      </c>
      <c r="B303" t="s">
        <v>22</v>
      </c>
      <c r="C303">
        <v>87</v>
      </c>
      <c r="D303" t="s">
        <v>10</v>
      </c>
      <c r="E303" s="23">
        <v>45016</v>
      </c>
      <c r="F303">
        <v>225</v>
      </c>
      <c r="G303">
        <v>2.9</v>
      </c>
      <c r="H303">
        <v>3</v>
      </c>
    </row>
    <row r="304" spans="1:8" x14ac:dyDescent="0.25">
      <c r="A304" t="s">
        <v>326</v>
      </c>
      <c r="B304" t="s">
        <v>20</v>
      </c>
      <c r="C304">
        <v>60</v>
      </c>
      <c r="D304" t="s">
        <v>9</v>
      </c>
      <c r="E304" s="23">
        <v>45017</v>
      </c>
      <c r="F304">
        <v>215</v>
      </c>
      <c r="G304">
        <v>3.2</v>
      </c>
      <c r="H304">
        <v>3</v>
      </c>
    </row>
    <row r="305" spans="1:8" x14ac:dyDescent="0.25">
      <c r="A305" t="s">
        <v>327</v>
      </c>
      <c r="B305" t="s">
        <v>21</v>
      </c>
      <c r="C305">
        <v>42</v>
      </c>
      <c r="D305" t="s">
        <v>11</v>
      </c>
      <c r="E305" s="23">
        <v>45017</v>
      </c>
      <c r="F305">
        <v>45</v>
      </c>
      <c r="G305">
        <v>1.5</v>
      </c>
      <c r="H305">
        <v>2</v>
      </c>
    </row>
    <row r="306" spans="1:8" x14ac:dyDescent="0.25">
      <c r="A306" t="s">
        <v>328</v>
      </c>
      <c r="B306" t="s">
        <v>18</v>
      </c>
      <c r="C306">
        <v>99</v>
      </c>
      <c r="D306" t="s">
        <v>9</v>
      </c>
      <c r="E306" s="23">
        <v>45017</v>
      </c>
      <c r="F306">
        <v>74</v>
      </c>
      <c r="G306">
        <v>4</v>
      </c>
      <c r="H306">
        <v>4</v>
      </c>
    </row>
    <row r="307" spans="1:8" x14ac:dyDescent="0.25">
      <c r="A307" t="s">
        <v>329</v>
      </c>
      <c r="B307" t="s">
        <v>23</v>
      </c>
      <c r="C307">
        <v>20</v>
      </c>
      <c r="D307" t="s">
        <v>11</v>
      </c>
      <c r="E307" s="23">
        <v>45017</v>
      </c>
      <c r="F307">
        <v>60</v>
      </c>
      <c r="G307">
        <v>3.6</v>
      </c>
      <c r="H307">
        <v>4</v>
      </c>
    </row>
    <row r="308" spans="1:8" x14ac:dyDescent="0.25">
      <c r="A308" t="s">
        <v>330</v>
      </c>
      <c r="B308" t="s">
        <v>14</v>
      </c>
      <c r="C308">
        <v>65</v>
      </c>
      <c r="D308" t="s">
        <v>9</v>
      </c>
      <c r="E308" s="23">
        <v>45017</v>
      </c>
      <c r="F308">
        <v>64</v>
      </c>
      <c r="G308">
        <v>3.7</v>
      </c>
      <c r="H308">
        <v>4</v>
      </c>
    </row>
    <row r="309" spans="1:8" x14ac:dyDescent="0.25">
      <c r="A309" t="s">
        <v>331</v>
      </c>
      <c r="B309" t="s">
        <v>16</v>
      </c>
      <c r="C309">
        <v>71</v>
      </c>
      <c r="D309" t="s">
        <v>10</v>
      </c>
      <c r="E309" s="23">
        <v>45018</v>
      </c>
      <c r="F309">
        <v>110</v>
      </c>
      <c r="G309">
        <v>4.8</v>
      </c>
      <c r="H309">
        <v>5</v>
      </c>
    </row>
    <row r="310" spans="1:8" x14ac:dyDescent="0.25">
      <c r="A310" t="s">
        <v>332</v>
      </c>
      <c r="B310" t="s">
        <v>12</v>
      </c>
      <c r="C310">
        <v>95</v>
      </c>
      <c r="D310" t="s">
        <v>6</v>
      </c>
      <c r="E310" s="23">
        <v>45018</v>
      </c>
      <c r="F310">
        <v>52</v>
      </c>
      <c r="G310">
        <v>1.2</v>
      </c>
      <c r="H310">
        <v>1</v>
      </c>
    </row>
    <row r="311" spans="1:8" x14ac:dyDescent="0.25">
      <c r="A311" t="s">
        <v>333</v>
      </c>
      <c r="B311" t="s">
        <v>23</v>
      </c>
      <c r="C311">
        <v>81</v>
      </c>
      <c r="D311" t="s">
        <v>13</v>
      </c>
      <c r="E311" s="23">
        <v>45019</v>
      </c>
      <c r="F311">
        <v>160</v>
      </c>
      <c r="G311">
        <v>4.7</v>
      </c>
      <c r="H311">
        <v>5</v>
      </c>
    </row>
    <row r="312" spans="1:8" x14ac:dyDescent="0.25">
      <c r="A312" t="s">
        <v>334</v>
      </c>
      <c r="B312" t="s">
        <v>7</v>
      </c>
      <c r="C312">
        <v>137</v>
      </c>
      <c r="D312" t="s">
        <v>13</v>
      </c>
      <c r="E312" s="23">
        <v>45019</v>
      </c>
      <c r="F312">
        <v>215</v>
      </c>
      <c r="G312">
        <v>4.7</v>
      </c>
      <c r="H312">
        <v>5</v>
      </c>
    </row>
    <row r="313" spans="1:8" x14ac:dyDescent="0.25">
      <c r="A313" t="s">
        <v>335</v>
      </c>
      <c r="B313" t="s">
        <v>7</v>
      </c>
      <c r="C313">
        <v>40</v>
      </c>
      <c r="D313" t="s">
        <v>6</v>
      </c>
      <c r="E313" s="23">
        <v>45019</v>
      </c>
      <c r="F313">
        <v>220</v>
      </c>
      <c r="G313">
        <v>4.5</v>
      </c>
      <c r="H313">
        <v>5</v>
      </c>
    </row>
    <row r="314" spans="1:8" x14ac:dyDescent="0.25">
      <c r="A314" t="s">
        <v>336</v>
      </c>
      <c r="B314" t="s">
        <v>18</v>
      </c>
      <c r="C314">
        <v>111</v>
      </c>
      <c r="D314" t="s">
        <v>9</v>
      </c>
      <c r="E314" s="23">
        <v>45020</v>
      </c>
      <c r="F314">
        <v>175</v>
      </c>
      <c r="G314">
        <v>3.5</v>
      </c>
      <c r="H314">
        <v>4</v>
      </c>
    </row>
    <row r="315" spans="1:8" x14ac:dyDescent="0.25">
      <c r="A315" t="s">
        <v>337</v>
      </c>
      <c r="B315" t="s">
        <v>16</v>
      </c>
      <c r="C315">
        <v>106</v>
      </c>
      <c r="D315" t="s">
        <v>9</v>
      </c>
      <c r="E315" s="23">
        <v>45020</v>
      </c>
      <c r="F315">
        <v>145</v>
      </c>
      <c r="G315">
        <v>4.0999999999999996</v>
      </c>
      <c r="H315">
        <v>4</v>
      </c>
    </row>
    <row r="316" spans="1:8" x14ac:dyDescent="0.25">
      <c r="A316" t="s">
        <v>338</v>
      </c>
      <c r="B316" t="s">
        <v>21</v>
      </c>
      <c r="C316">
        <v>133</v>
      </c>
      <c r="D316" t="s">
        <v>11</v>
      </c>
      <c r="E316" s="23">
        <v>45020</v>
      </c>
      <c r="F316">
        <v>72</v>
      </c>
      <c r="G316">
        <v>4.4000000000000004</v>
      </c>
      <c r="H316">
        <v>4</v>
      </c>
    </row>
    <row r="317" spans="1:8" x14ac:dyDescent="0.25">
      <c r="A317" t="s">
        <v>339</v>
      </c>
      <c r="B317" t="s">
        <v>15</v>
      </c>
      <c r="C317">
        <v>38</v>
      </c>
      <c r="D317" t="s">
        <v>9</v>
      </c>
      <c r="E317" s="23">
        <v>45021</v>
      </c>
      <c r="F317">
        <v>81</v>
      </c>
      <c r="G317">
        <v>3.6</v>
      </c>
      <c r="H317">
        <v>4</v>
      </c>
    </row>
    <row r="318" spans="1:8" x14ac:dyDescent="0.25">
      <c r="A318" t="s">
        <v>340</v>
      </c>
      <c r="B318" t="s">
        <v>19</v>
      </c>
      <c r="C318">
        <v>130</v>
      </c>
      <c r="D318" t="s">
        <v>6</v>
      </c>
      <c r="E318" s="23">
        <v>45021</v>
      </c>
      <c r="F318">
        <v>54</v>
      </c>
      <c r="G318">
        <v>4.0999999999999996</v>
      </c>
      <c r="H318">
        <v>4</v>
      </c>
    </row>
    <row r="319" spans="1:8" x14ac:dyDescent="0.25">
      <c r="A319" t="s">
        <v>341</v>
      </c>
      <c r="B319" t="s">
        <v>14</v>
      </c>
      <c r="C319">
        <v>23</v>
      </c>
      <c r="D319" t="s">
        <v>11</v>
      </c>
      <c r="E319" s="23">
        <v>45021</v>
      </c>
      <c r="F319">
        <v>105</v>
      </c>
      <c r="G319">
        <v>4.8</v>
      </c>
      <c r="H319">
        <v>5</v>
      </c>
    </row>
    <row r="320" spans="1:8" x14ac:dyDescent="0.25">
      <c r="A320" t="s">
        <v>342</v>
      </c>
      <c r="B320" t="s">
        <v>19</v>
      </c>
      <c r="C320">
        <v>124</v>
      </c>
      <c r="D320" t="s">
        <v>9</v>
      </c>
      <c r="E320" s="23">
        <v>45022</v>
      </c>
      <c r="F320">
        <v>176</v>
      </c>
      <c r="G320">
        <v>3.9</v>
      </c>
      <c r="H320">
        <v>4</v>
      </c>
    </row>
    <row r="321" spans="1:8" x14ac:dyDescent="0.25">
      <c r="A321" t="s">
        <v>343</v>
      </c>
      <c r="B321" t="s">
        <v>23</v>
      </c>
      <c r="C321">
        <v>107</v>
      </c>
      <c r="D321" t="s">
        <v>9</v>
      </c>
      <c r="E321" s="23">
        <v>45022</v>
      </c>
      <c r="F321">
        <v>115</v>
      </c>
      <c r="G321">
        <v>3.8</v>
      </c>
      <c r="H321">
        <v>4</v>
      </c>
    </row>
    <row r="322" spans="1:8" x14ac:dyDescent="0.25">
      <c r="A322" t="s">
        <v>344</v>
      </c>
      <c r="B322" t="s">
        <v>7</v>
      </c>
      <c r="C322">
        <v>60</v>
      </c>
      <c r="D322" t="s">
        <v>10</v>
      </c>
      <c r="E322" s="23">
        <v>45022</v>
      </c>
      <c r="F322">
        <v>116</v>
      </c>
      <c r="G322">
        <v>3.9</v>
      </c>
      <c r="H322">
        <v>4</v>
      </c>
    </row>
    <row r="323" spans="1:8" x14ac:dyDescent="0.25">
      <c r="A323" t="s">
        <v>345</v>
      </c>
      <c r="B323" t="s">
        <v>7</v>
      </c>
      <c r="C323">
        <v>158</v>
      </c>
      <c r="D323" t="s">
        <v>6</v>
      </c>
      <c r="E323" s="23">
        <v>45022</v>
      </c>
      <c r="F323">
        <v>100</v>
      </c>
      <c r="G323">
        <v>4.0999999999999996</v>
      </c>
      <c r="H323">
        <v>4</v>
      </c>
    </row>
    <row r="324" spans="1:8" x14ac:dyDescent="0.25">
      <c r="A324" t="s">
        <v>346</v>
      </c>
      <c r="B324" t="s">
        <v>22</v>
      </c>
      <c r="C324">
        <v>110</v>
      </c>
      <c r="D324" t="s">
        <v>6</v>
      </c>
      <c r="E324" s="23">
        <v>45023</v>
      </c>
      <c r="F324">
        <v>36</v>
      </c>
      <c r="G324">
        <v>2.2000000000000002</v>
      </c>
      <c r="H324">
        <v>2</v>
      </c>
    </row>
    <row r="325" spans="1:8" x14ac:dyDescent="0.25">
      <c r="A325" t="s">
        <v>347</v>
      </c>
      <c r="B325" t="s">
        <v>17</v>
      </c>
      <c r="C325">
        <v>70</v>
      </c>
      <c r="D325" t="s">
        <v>6</v>
      </c>
      <c r="E325" s="23">
        <v>45023</v>
      </c>
      <c r="F325">
        <v>114</v>
      </c>
      <c r="G325">
        <v>5</v>
      </c>
      <c r="H325">
        <v>5</v>
      </c>
    </row>
    <row r="326" spans="1:8" x14ac:dyDescent="0.25">
      <c r="A326" t="s">
        <v>348</v>
      </c>
      <c r="B326" t="s">
        <v>17</v>
      </c>
      <c r="C326">
        <v>150</v>
      </c>
      <c r="D326" t="s">
        <v>10</v>
      </c>
      <c r="E326" s="23">
        <v>45023</v>
      </c>
      <c r="F326">
        <v>24</v>
      </c>
      <c r="G326">
        <v>3.8</v>
      </c>
      <c r="H326">
        <v>4</v>
      </c>
    </row>
    <row r="327" spans="1:8" x14ac:dyDescent="0.25">
      <c r="A327" t="s">
        <v>349</v>
      </c>
      <c r="B327" t="s">
        <v>15</v>
      </c>
      <c r="C327">
        <v>36</v>
      </c>
      <c r="D327" t="s">
        <v>9</v>
      </c>
      <c r="E327" s="23">
        <v>45023</v>
      </c>
      <c r="F327">
        <v>135</v>
      </c>
      <c r="G327">
        <v>4.5999999999999996</v>
      </c>
      <c r="H327">
        <v>5</v>
      </c>
    </row>
    <row r="328" spans="1:8" x14ac:dyDescent="0.25">
      <c r="A328" t="s">
        <v>350</v>
      </c>
      <c r="B328" t="s">
        <v>19</v>
      </c>
      <c r="C328">
        <v>74</v>
      </c>
      <c r="D328" t="s">
        <v>9</v>
      </c>
      <c r="E328" s="23">
        <v>45023</v>
      </c>
      <c r="F328">
        <v>30</v>
      </c>
      <c r="G328">
        <v>4</v>
      </c>
      <c r="H328">
        <v>4</v>
      </c>
    </row>
    <row r="329" spans="1:8" x14ac:dyDescent="0.25">
      <c r="A329" t="s">
        <v>351</v>
      </c>
      <c r="B329" t="s">
        <v>12</v>
      </c>
      <c r="C329">
        <v>75</v>
      </c>
      <c r="D329" t="s">
        <v>9</v>
      </c>
      <c r="E329" s="23">
        <v>45023</v>
      </c>
      <c r="F329">
        <v>84</v>
      </c>
      <c r="G329">
        <v>2.8</v>
      </c>
      <c r="H329">
        <v>3</v>
      </c>
    </row>
    <row r="330" spans="1:8" x14ac:dyDescent="0.25">
      <c r="A330" t="s">
        <v>352</v>
      </c>
      <c r="B330" t="s">
        <v>5</v>
      </c>
      <c r="C330">
        <v>70</v>
      </c>
      <c r="D330" t="s">
        <v>13</v>
      </c>
      <c r="E330" s="23">
        <v>45023</v>
      </c>
      <c r="F330">
        <v>42</v>
      </c>
      <c r="G330">
        <v>4.4000000000000004</v>
      </c>
      <c r="H330">
        <v>4</v>
      </c>
    </row>
    <row r="331" spans="1:8" x14ac:dyDescent="0.25">
      <c r="A331" t="s">
        <v>353</v>
      </c>
      <c r="B331" t="s">
        <v>22</v>
      </c>
      <c r="C331">
        <v>23</v>
      </c>
      <c r="D331" t="s">
        <v>6</v>
      </c>
      <c r="E331" s="23">
        <v>45023</v>
      </c>
      <c r="F331">
        <v>117</v>
      </c>
      <c r="G331">
        <v>2.4</v>
      </c>
      <c r="H331">
        <v>2</v>
      </c>
    </row>
    <row r="332" spans="1:8" x14ac:dyDescent="0.25">
      <c r="A332" t="s">
        <v>354</v>
      </c>
      <c r="B332" t="s">
        <v>18</v>
      </c>
      <c r="C332">
        <v>104</v>
      </c>
      <c r="D332" t="s">
        <v>11</v>
      </c>
      <c r="E332" s="23">
        <v>45023</v>
      </c>
      <c r="F332">
        <v>164</v>
      </c>
      <c r="G332">
        <v>4</v>
      </c>
      <c r="H332">
        <v>4</v>
      </c>
    </row>
    <row r="333" spans="1:8" x14ac:dyDescent="0.25">
      <c r="A333" t="s">
        <v>355</v>
      </c>
      <c r="B333" t="s">
        <v>17</v>
      </c>
      <c r="C333">
        <v>95</v>
      </c>
      <c r="D333" t="s">
        <v>13</v>
      </c>
      <c r="E333" s="23">
        <v>45024</v>
      </c>
      <c r="F333">
        <v>123</v>
      </c>
      <c r="G333">
        <v>4.4000000000000004</v>
      </c>
      <c r="H333">
        <v>4</v>
      </c>
    </row>
    <row r="334" spans="1:8" x14ac:dyDescent="0.25">
      <c r="A334" t="s">
        <v>356</v>
      </c>
      <c r="B334" t="s">
        <v>8</v>
      </c>
      <c r="C334">
        <v>49</v>
      </c>
      <c r="D334" t="s">
        <v>10</v>
      </c>
      <c r="E334" s="23">
        <v>45024</v>
      </c>
      <c r="F334">
        <v>172</v>
      </c>
      <c r="G334">
        <v>2.9</v>
      </c>
      <c r="H334">
        <v>3</v>
      </c>
    </row>
    <row r="335" spans="1:8" x14ac:dyDescent="0.25">
      <c r="A335" t="s">
        <v>357</v>
      </c>
      <c r="B335" t="s">
        <v>16</v>
      </c>
      <c r="C335">
        <v>8</v>
      </c>
      <c r="D335" t="s">
        <v>6</v>
      </c>
      <c r="E335" s="23">
        <v>45024</v>
      </c>
      <c r="F335">
        <v>20</v>
      </c>
      <c r="G335">
        <v>4.8</v>
      </c>
      <c r="H335">
        <v>5</v>
      </c>
    </row>
    <row r="336" spans="1:8" x14ac:dyDescent="0.25">
      <c r="A336" t="s">
        <v>358</v>
      </c>
      <c r="B336" t="s">
        <v>17</v>
      </c>
      <c r="C336">
        <v>157</v>
      </c>
      <c r="D336" t="s">
        <v>10</v>
      </c>
      <c r="E336" s="23">
        <v>45024</v>
      </c>
      <c r="F336">
        <v>72</v>
      </c>
      <c r="G336">
        <v>3.7</v>
      </c>
      <c r="H336">
        <v>4</v>
      </c>
    </row>
    <row r="337" spans="1:8" x14ac:dyDescent="0.25">
      <c r="A337" t="s">
        <v>359</v>
      </c>
      <c r="B337" t="s">
        <v>23</v>
      </c>
      <c r="C337">
        <v>74</v>
      </c>
      <c r="D337" t="s">
        <v>9</v>
      </c>
      <c r="E337" s="23">
        <v>45024</v>
      </c>
      <c r="F337">
        <v>32</v>
      </c>
      <c r="G337">
        <v>4.8</v>
      </c>
      <c r="H337">
        <v>5</v>
      </c>
    </row>
    <row r="338" spans="1:8" x14ac:dyDescent="0.25">
      <c r="A338" t="s">
        <v>360</v>
      </c>
      <c r="B338" t="s">
        <v>22</v>
      </c>
      <c r="C338">
        <v>72</v>
      </c>
      <c r="D338" t="s">
        <v>13</v>
      </c>
      <c r="E338" s="23">
        <v>45024</v>
      </c>
      <c r="F338">
        <v>140</v>
      </c>
      <c r="G338">
        <v>3.2</v>
      </c>
      <c r="H338">
        <v>3</v>
      </c>
    </row>
    <row r="339" spans="1:8" x14ac:dyDescent="0.25">
      <c r="A339" t="s">
        <v>361</v>
      </c>
      <c r="B339" t="s">
        <v>23</v>
      </c>
      <c r="C339">
        <v>79</v>
      </c>
      <c r="D339" t="s">
        <v>9</v>
      </c>
      <c r="E339" s="23">
        <v>45025</v>
      </c>
      <c r="F339">
        <v>120</v>
      </c>
      <c r="G339">
        <v>4.9000000000000004</v>
      </c>
      <c r="H339">
        <v>5</v>
      </c>
    </row>
    <row r="340" spans="1:8" x14ac:dyDescent="0.25">
      <c r="A340" t="s">
        <v>362</v>
      </c>
      <c r="B340" t="s">
        <v>19</v>
      </c>
      <c r="C340">
        <v>23</v>
      </c>
      <c r="D340" t="s">
        <v>9</v>
      </c>
      <c r="E340" s="23">
        <v>45025</v>
      </c>
      <c r="F340">
        <v>86</v>
      </c>
      <c r="G340">
        <v>2.2000000000000002</v>
      </c>
      <c r="H340">
        <v>2</v>
      </c>
    </row>
    <row r="341" spans="1:8" x14ac:dyDescent="0.25">
      <c r="A341" t="s">
        <v>363</v>
      </c>
      <c r="B341" t="s">
        <v>12</v>
      </c>
      <c r="C341">
        <v>69</v>
      </c>
      <c r="D341" t="s">
        <v>9</v>
      </c>
      <c r="E341" s="23">
        <v>45025</v>
      </c>
      <c r="F341">
        <v>132</v>
      </c>
      <c r="G341">
        <v>5</v>
      </c>
      <c r="H341">
        <v>5</v>
      </c>
    </row>
    <row r="342" spans="1:8" x14ac:dyDescent="0.25">
      <c r="A342" t="s">
        <v>364</v>
      </c>
      <c r="B342" t="s">
        <v>7</v>
      </c>
      <c r="C342">
        <v>64</v>
      </c>
      <c r="D342" t="s">
        <v>9</v>
      </c>
      <c r="E342" s="23">
        <v>45025</v>
      </c>
      <c r="F342">
        <v>80</v>
      </c>
      <c r="G342">
        <v>3.3</v>
      </c>
      <c r="H342">
        <v>3</v>
      </c>
    </row>
    <row r="343" spans="1:8" x14ac:dyDescent="0.25">
      <c r="A343" t="s">
        <v>365</v>
      </c>
      <c r="B343" t="s">
        <v>24</v>
      </c>
      <c r="C343">
        <v>47</v>
      </c>
      <c r="D343" t="s">
        <v>10</v>
      </c>
      <c r="E343" s="23">
        <v>45025</v>
      </c>
      <c r="F343">
        <v>132</v>
      </c>
      <c r="G343">
        <v>3.7</v>
      </c>
      <c r="H343">
        <v>4</v>
      </c>
    </row>
    <row r="344" spans="1:8" x14ac:dyDescent="0.25">
      <c r="A344" t="s">
        <v>366</v>
      </c>
      <c r="B344" t="s">
        <v>23</v>
      </c>
      <c r="C344">
        <v>55</v>
      </c>
      <c r="D344" t="s">
        <v>13</v>
      </c>
      <c r="E344" s="23">
        <v>45025</v>
      </c>
      <c r="F344">
        <v>27</v>
      </c>
      <c r="G344">
        <v>3.7</v>
      </c>
      <c r="H344">
        <v>4</v>
      </c>
    </row>
    <row r="345" spans="1:8" x14ac:dyDescent="0.25">
      <c r="A345" t="s">
        <v>367</v>
      </c>
      <c r="B345" t="s">
        <v>18</v>
      </c>
      <c r="C345">
        <v>104</v>
      </c>
      <c r="D345" t="s">
        <v>13</v>
      </c>
      <c r="E345" s="23">
        <v>45026</v>
      </c>
      <c r="F345">
        <v>68</v>
      </c>
      <c r="G345">
        <v>3.6</v>
      </c>
      <c r="H345">
        <v>4</v>
      </c>
    </row>
    <row r="346" spans="1:8" x14ac:dyDescent="0.25">
      <c r="A346" t="s">
        <v>368</v>
      </c>
      <c r="B346" t="s">
        <v>24</v>
      </c>
      <c r="C346">
        <v>116</v>
      </c>
      <c r="D346" t="s">
        <v>9</v>
      </c>
      <c r="E346" s="23">
        <v>45026</v>
      </c>
      <c r="F346">
        <v>22</v>
      </c>
      <c r="G346">
        <v>4.7</v>
      </c>
      <c r="H346">
        <v>5</v>
      </c>
    </row>
    <row r="347" spans="1:8" x14ac:dyDescent="0.25">
      <c r="A347" t="s">
        <v>369</v>
      </c>
      <c r="B347" t="s">
        <v>19</v>
      </c>
      <c r="C347">
        <v>99</v>
      </c>
      <c r="D347" t="s">
        <v>13</v>
      </c>
      <c r="E347" s="23">
        <v>45026</v>
      </c>
      <c r="F347">
        <v>42</v>
      </c>
      <c r="G347">
        <v>3.1</v>
      </c>
      <c r="H347">
        <v>3</v>
      </c>
    </row>
    <row r="348" spans="1:8" x14ac:dyDescent="0.25">
      <c r="A348" t="s">
        <v>370</v>
      </c>
      <c r="B348" t="s">
        <v>18</v>
      </c>
      <c r="C348">
        <v>84</v>
      </c>
      <c r="D348" t="s">
        <v>13</v>
      </c>
      <c r="E348" s="23">
        <v>45027</v>
      </c>
      <c r="F348">
        <v>38</v>
      </c>
      <c r="G348">
        <v>3.3</v>
      </c>
      <c r="H348">
        <v>3</v>
      </c>
    </row>
    <row r="349" spans="1:8" x14ac:dyDescent="0.25">
      <c r="A349" t="s">
        <v>371</v>
      </c>
      <c r="B349" t="s">
        <v>16</v>
      </c>
      <c r="C349">
        <v>159</v>
      </c>
      <c r="D349" t="s">
        <v>13</v>
      </c>
      <c r="E349" s="23">
        <v>45027</v>
      </c>
      <c r="F349">
        <v>42</v>
      </c>
      <c r="G349">
        <v>4.5</v>
      </c>
      <c r="H349">
        <v>5</v>
      </c>
    </row>
    <row r="350" spans="1:8" x14ac:dyDescent="0.25">
      <c r="A350" t="s">
        <v>372</v>
      </c>
      <c r="B350" t="s">
        <v>15</v>
      </c>
      <c r="C350">
        <v>25</v>
      </c>
      <c r="D350" t="s">
        <v>10</v>
      </c>
      <c r="E350" s="23">
        <v>45027</v>
      </c>
      <c r="F350">
        <v>75</v>
      </c>
      <c r="G350">
        <v>3.9</v>
      </c>
      <c r="H350">
        <v>4</v>
      </c>
    </row>
    <row r="351" spans="1:8" x14ac:dyDescent="0.25">
      <c r="A351" t="s">
        <v>373</v>
      </c>
      <c r="B351" t="s">
        <v>16</v>
      </c>
      <c r="C351">
        <v>53</v>
      </c>
      <c r="D351" t="s">
        <v>6</v>
      </c>
      <c r="E351" s="23">
        <v>45028</v>
      </c>
      <c r="F351">
        <v>23</v>
      </c>
      <c r="G351">
        <v>4.9000000000000004</v>
      </c>
      <c r="H351">
        <v>5</v>
      </c>
    </row>
    <row r="352" spans="1:8" x14ac:dyDescent="0.25">
      <c r="A352" t="s">
        <v>374</v>
      </c>
      <c r="B352" t="s">
        <v>16</v>
      </c>
      <c r="C352">
        <v>89</v>
      </c>
      <c r="D352" t="s">
        <v>10</v>
      </c>
      <c r="E352" s="23">
        <v>45028</v>
      </c>
      <c r="F352">
        <v>200</v>
      </c>
      <c r="G352">
        <v>4.8</v>
      </c>
      <c r="H352">
        <v>5</v>
      </c>
    </row>
    <row r="353" spans="1:8" x14ac:dyDescent="0.25">
      <c r="A353" t="s">
        <v>375</v>
      </c>
      <c r="B353" t="s">
        <v>21</v>
      </c>
      <c r="C353">
        <v>73</v>
      </c>
      <c r="D353" t="s">
        <v>9</v>
      </c>
      <c r="E353" s="23">
        <v>45029</v>
      </c>
      <c r="F353">
        <v>45</v>
      </c>
      <c r="G353">
        <v>3.6</v>
      </c>
      <c r="H353">
        <v>4</v>
      </c>
    </row>
    <row r="354" spans="1:8" x14ac:dyDescent="0.25">
      <c r="A354" t="s">
        <v>376</v>
      </c>
      <c r="B354" t="s">
        <v>19</v>
      </c>
      <c r="C354">
        <v>50</v>
      </c>
      <c r="D354" t="s">
        <v>9</v>
      </c>
      <c r="E354" s="23">
        <v>45029</v>
      </c>
      <c r="F354">
        <v>105</v>
      </c>
      <c r="G354">
        <v>3.5</v>
      </c>
      <c r="H354">
        <v>4</v>
      </c>
    </row>
    <row r="355" spans="1:8" x14ac:dyDescent="0.25">
      <c r="A355" t="s">
        <v>377</v>
      </c>
      <c r="B355" t="s">
        <v>8</v>
      </c>
      <c r="C355">
        <v>98</v>
      </c>
      <c r="D355" t="s">
        <v>9</v>
      </c>
      <c r="E355" s="23">
        <v>45029</v>
      </c>
      <c r="F355">
        <v>22</v>
      </c>
      <c r="G355">
        <v>3.8</v>
      </c>
      <c r="H355">
        <v>4</v>
      </c>
    </row>
    <row r="356" spans="1:8" x14ac:dyDescent="0.25">
      <c r="A356" t="s">
        <v>378</v>
      </c>
      <c r="B356" t="s">
        <v>14</v>
      </c>
      <c r="C356">
        <v>114</v>
      </c>
      <c r="D356" t="s">
        <v>13</v>
      </c>
      <c r="E356" s="23">
        <v>45030</v>
      </c>
      <c r="F356">
        <v>126</v>
      </c>
      <c r="G356">
        <v>4.4000000000000004</v>
      </c>
      <c r="H356">
        <v>4</v>
      </c>
    </row>
    <row r="357" spans="1:8" x14ac:dyDescent="0.25">
      <c r="A357" t="s">
        <v>379</v>
      </c>
      <c r="B357" t="s">
        <v>7</v>
      </c>
      <c r="C357">
        <v>67</v>
      </c>
      <c r="D357" t="s">
        <v>13</v>
      </c>
      <c r="E357" s="23">
        <v>45030</v>
      </c>
      <c r="F357">
        <v>35</v>
      </c>
      <c r="G357">
        <v>3</v>
      </c>
      <c r="H357">
        <v>3</v>
      </c>
    </row>
    <row r="358" spans="1:8" x14ac:dyDescent="0.25">
      <c r="A358" t="s">
        <v>380</v>
      </c>
      <c r="B358" t="s">
        <v>23</v>
      </c>
      <c r="C358">
        <v>91</v>
      </c>
      <c r="D358" t="s">
        <v>9</v>
      </c>
      <c r="E358" s="23">
        <v>45030</v>
      </c>
      <c r="F358">
        <v>84</v>
      </c>
      <c r="G358">
        <v>4.5</v>
      </c>
      <c r="H358">
        <v>5</v>
      </c>
    </row>
    <row r="359" spans="1:8" x14ac:dyDescent="0.25">
      <c r="A359" t="s">
        <v>381</v>
      </c>
      <c r="B359" t="s">
        <v>5</v>
      </c>
      <c r="C359">
        <v>67</v>
      </c>
      <c r="D359" t="s">
        <v>9</v>
      </c>
      <c r="E359" s="23">
        <v>45031</v>
      </c>
      <c r="F359">
        <v>172</v>
      </c>
      <c r="G359">
        <v>4.5</v>
      </c>
      <c r="H359">
        <v>5</v>
      </c>
    </row>
    <row r="360" spans="1:8" x14ac:dyDescent="0.25">
      <c r="A360" t="s">
        <v>382</v>
      </c>
      <c r="B360" t="s">
        <v>14</v>
      </c>
      <c r="C360">
        <v>139</v>
      </c>
      <c r="D360" t="s">
        <v>10</v>
      </c>
      <c r="E360" s="23">
        <v>45031</v>
      </c>
      <c r="F360">
        <v>114</v>
      </c>
      <c r="G360">
        <v>4</v>
      </c>
      <c r="H360">
        <v>4</v>
      </c>
    </row>
    <row r="361" spans="1:8" x14ac:dyDescent="0.25">
      <c r="A361" t="s">
        <v>383</v>
      </c>
      <c r="B361" t="s">
        <v>5</v>
      </c>
      <c r="C361">
        <v>102</v>
      </c>
      <c r="D361" t="s">
        <v>10</v>
      </c>
      <c r="E361" s="23">
        <v>45031</v>
      </c>
      <c r="F361">
        <v>60</v>
      </c>
      <c r="G361">
        <v>3.8</v>
      </c>
      <c r="H361">
        <v>4</v>
      </c>
    </row>
    <row r="362" spans="1:8" x14ac:dyDescent="0.25">
      <c r="A362" t="s">
        <v>384</v>
      </c>
      <c r="B362" t="s">
        <v>17</v>
      </c>
      <c r="C362">
        <v>108</v>
      </c>
      <c r="D362" t="s">
        <v>11</v>
      </c>
      <c r="E362" s="23">
        <v>45031</v>
      </c>
      <c r="F362">
        <v>26</v>
      </c>
      <c r="G362">
        <v>3.3</v>
      </c>
      <c r="H362">
        <v>3</v>
      </c>
    </row>
    <row r="363" spans="1:8" x14ac:dyDescent="0.25">
      <c r="A363" t="s">
        <v>385</v>
      </c>
      <c r="B363" t="s">
        <v>15</v>
      </c>
      <c r="C363">
        <v>66</v>
      </c>
      <c r="D363" t="s">
        <v>9</v>
      </c>
      <c r="E363" s="23">
        <v>45031</v>
      </c>
      <c r="F363">
        <v>210</v>
      </c>
      <c r="G363">
        <v>4.3</v>
      </c>
      <c r="H363">
        <v>4</v>
      </c>
    </row>
    <row r="364" spans="1:8" x14ac:dyDescent="0.25">
      <c r="A364" t="s">
        <v>386</v>
      </c>
      <c r="B364" t="s">
        <v>22</v>
      </c>
      <c r="C364">
        <v>85</v>
      </c>
      <c r="D364" t="s">
        <v>10</v>
      </c>
      <c r="E364" s="23">
        <v>45031</v>
      </c>
      <c r="F364">
        <v>129</v>
      </c>
      <c r="G364">
        <v>4.2</v>
      </c>
      <c r="H364">
        <v>4</v>
      </c>
    </row>
    <row r="365" spans="1:8" x14ac:dyDescent="0.25">
      <c r="A365" t="s">
        <v>387</v>
      </c>
      <c r="B365" t="s">
        <v>7</v>
      </c>
      <c r="C365">
        <v>55</v>
      </c>
      <c r="D365" t="s">
        <v>11</v>
      </c>
      <c r="E365" s="23">
        <v>45031</v>
      </c>
      <c r="F365">
        <v>215</v>
      </c>
      <c r="G365">
        <v>4.3</v>
      </c>
      <c r="H365">
        <v>4</v>
      </c>
    </row>
    <row r="366" spans="1:8" x14ac:dyDescent="0.25">
      <c r="A366" t="s">
        <v>388</v>
      </c>
      <c r="B366" t="s">
        <v>17</v>
      </c>
      <c r="C366">
        <v>17</v>
      </c>
      <c r="D366" t="s">
        <v>6</v>
      </c>
      <c r="E366" s="23">
        <v>45031</v>
      </c>
      <c r="F366">
        <v>69</v>
      </c>
      <c r="G366">
        <v>4.5999999999999996</v>
      </c>
      <c r="H366">
        <v>5</v>
      </c>
    </row>
    <row r="367" spans="1:8" x14ac:dyDescent="0.25">
      <c r="A367" t="s">
        <v>389</v>
      </c>
      <c r="B367" t="s">
        <v>7</v>
      </c>
      <c r="C367">
        <v>128</v>
      </c>
      <c r="D367" t="s">
        <v>6</v>
      </c>
      <c r="E367" s="23">
        <v>45031</v>
      </c>
      <c r="F367">
        <v>140</v>
      </c>
      <c r="G367">
        <v>3</v>
      </c>
      <c r="H367">
        <v>3</v>
      </c>
    </row>
    <row r="368" spans="1:8" x14ac:dyDescent="0.25">
      <c r="A368" t="s">
        <v>390</v>
      </c>
      <c r="B368" t="s">
        <v>19</v>
      </c>
      <c r="C368">
        <v>45</v>
      </c>
      <c r="D368" t="s">
        <v>11</v>
      </c>
      <c r="E368" s="23">
        <v>45032</v>
      </c>
      <c r="F368">
        <v>156</v>
      </c>
      <c r="G368">
        <v>2.7</v>
      </c>
      <c r="H368">
        <v>3</v>
      </c>
    </row>
    <row r="369" spans="1:8" x14ac:dyDescent="0.25">
      <c r="A369" t="s">
        <v>391</v>
      </c>
      <c r="B369" t="s">
        <v>17</v>
      </c>
      <c r="C369">
        <v>41</v>
      </c>
      <c r="D369" t="s">
        <v>6</v>
      </c>
      <c r="E369" s="23">
        <v>45032</v>
      </c>
      <c r="F369">
        <v>164</v>
      </c>
      <c r="G369">
        <v>3.1</v>
      </c>
      <c r="H369">
        <v>3</v>
      </c>
    </row>
    <row r="370" spans="1:8" x14ac:dyDescent="0.25">
      <c r="A370" t="s">
        <v>392</v>
      </c>
      <c r="B370" t="s">
        <v>24</v>
      </c>
      <c r="C370">
        <v>49</v>
      </c>
      <c r="D370" t="s">
        <v>6</v>
      </c>
      <c r="E370" s="23">
        <v>45032</v>
      </c>
      <c r="F370">
        <v>195</v>
      </c>
      <c r="G370">
        <v>2.6</v>
      </c>
      <c r="H370">
        <v>3</v>
      </c>
    </row>
    <row r="371" spans="1:8" x14ac:dyDescent="0.25">
      <c r="A371" t="s">
        <v>393</v>
      </c>
      <c r="B371" t="s">
        <v>12</v>
      </c>
      <c r="C371">
        <v>21</v>
      </c>
      <c r="D371" t="s">
        <v>13</v>
      </c>
      <c r="E371" s="23">
        <v>45032</v>
      </c>
      <c r="F371">
        <v>74</v>
      </c>
      <c r="G371">
        <v>4.5999999999999996</v>
      </c>
      <c r="H371">
        <v>5</v>
      </c>
    </row>
    <row r="372" spans="1:8" x14ac:dyDescent="0.25">
      <c r="A372" t="s">
        <v>394</v>
      </c>
      <c r="B372" t="s">
        <v>16</v>
      </c>
      <c r="C372">
        <v>133</v>
      </c>
      <c r="D372" t="s">
        <v>11</v>
      </c>
      <c r="E372" s="23">
        <v>45032</v>
      </c>
      <c r="F372">
        <v>100</v>
      </c>
      <c r="G372">
        <v>4</v>
      </c>
      <c r="H372">
        <v>4</v>
      </c>
    </row>
    <row r="373" spans="1:8" x14ac:dyDescent="0.25">
      <c r="A373" t="s">
        <v>395</v>
      </c>
      <c r="B373" t="s">
        <v>20</v>
      </c>
      <c r="C373">
        <v>135</v>
      </c>
      <c r="D373" t="s">
        <v>9</v>
      </c>
      <c r="E373" s="23">
        <v>45032</v>
      </c>
      <c r="F373">
        <v>185</v>
      </c>
      <c r="G373">
        <v>4.5</v>
      </c>
      <c r="H373">
        <v>5</v>
      </c>
    </row>
    <row r="374" spans="1:8" x14ac:dyDescent="0.25">
      <c r="A374" t="s">
        <v>396</v>
      </c>
      <c r="B374" t="s">
        <v>14</v>
      </c>
      <c r="C374">
        <v>69</v>
      </c>
      <c r="D374" t="s">
        <v>11</v>
      </c>
      <c r="E374" s="23">
        <v>45032</v>
      </c>
      <c r="F374">
        <v>130</v>
      </c>
      <c r="G374">
        <v>1.9</v>
      </c>
      <c r="H374">
        <v>2</v>
      </c>
    </row>
    <row r="375" spans="1:8" x14ac:dyDescent="0.25">
      <c r="A375" t="s">
        <v>397</v>
      </c>
      <c r="B375" t="s">
        <v>18</v>
      </c>
      <c r="C375">
        <v>110</v>
      </c>
      <c r="D375" t="s">
        <v>13</v>
      </c>
      <c r="E375" s="23">
        <v>45033</v>
      </c>
      <c r="F375">
        <v>21</v>
      </c>
      <c r="G375">
        <v>2.6</v>
      </c>
      <c r="H375">
        <v>3</v>
      </c>
    </row>
    <row r="376" spans="1:8" x14ac:dyDescent="0.25">
      <c r="A376" t="s">
        <v>398</v>
      </c>
      <c r="B376" t="s">
        <v>5</v>
      </c>
      <c r="C376">
        <v>64</v>
      </c>
      <c r="D376" t="s">
        <v>10</v>
      </c>
      <c r="E376" s="23">
        <v>45033</v>
      </c>
      <c r="F376">
        <v>88</v>
      </c>
      <c r="G376">
        <v>4.3</v>
      </c>
      <c r="H376">
        <v>4</v>
      </c>
    </row>
    <row r="377" spans="1:8" x14ac:dyDescent="0.25">
      <c r="A377" t="s">
        <v>399</v>
      </c>
      <c r="B377" t="s">
        <v>23</v>
      </c>
      <c r="C377">
        <v>105</v>
      </c>
      <c r="D377" t="s">
        <v>6</v>
      </c>
      <c r="E377" s="23">
        <v>45033</v>
      </c>
      <c r="F377">
        <v>35</v>
      </c>
      <c r="G377">
        <v>4.4000000000000004</v>
      </c>
      <c r="H377">
        <v>4</v>
      </c>
    </row>
    <row r="378" spans="1:8" x14ac:dyDescent="0.25">
      <c r="A378" t="s">
        <v>400</v>
      </c>
      <c r="B378" t="s">
        <v>5</v>
      </c>
      <c r="C378">
        <v>165</v>
      </c>
      <c r="D378" t="s">
        <v>9</v>
      </c>
      <c r="E378" s="23">
        <v>45033</v>
      </c>
      <c r="F378">
        <v>68</v>
      </c>
      <c r="G378">
        <v>4.3</v>
      </c>
      <c r="H378">
        <v>4</v>
      </c>
    </row>
    <row r="379" spans="1:8" x14ac:dyDescent="0.25">
      <c r="A379" t="s">
        <v>401</v>
      </c>
      <c r="B379" t="s">
        <v>19</v>
      </c>
      <c r="C379">
        <v>125</v>
      </c>
      <c r="D379" t="s">
        <v>9</v>
      </c>
      <c r="E379" s="23">
        <v>45033</v>
      </c>
      <c r="F379">
        <v>148</v>
      </c>
      <c r="G379">
        <v>4.5</v>
      </c>
      <c r="H379">
        <v>5</v>
      </c>
    </row>
    <row r="380" spans="1:8" x14ac:dyDescent="0.25">
      <c r="A380" t="s">
        <v>402</v>
      </c>
      <c r="B380" t="s">
        <v>23</v>
      </c>
      <c r="C380">
        <v>88</v>
      </c>
      <c r="D380" t="s">
        <v>10</v>
      </c>
      <c r="E380" s="23">
        <v>45034</v>
      </c>
      <c r="F380">
        <v>81</v>
      </c>
      <c r="G380">
        <v>4.2</v>
      </c>
      <c r="H380">
        <v>4</v>
      </c>
    </row>
    <row r="381" spans="1:8" x14ac:dyDescent="0.25">
      <c r="A381" t="s">
        <v>403</v>
      </c>
      <c r="B381" t="s">
        <v>14</v>
      </c>
      <c r="C381">
        <v>6</v>
      </c>
      <c r="D381" t="s">
        <v>10</v>
      </c>
      <c r="E381" s="23">
        <v>45034</v>
      </c>
      <c r="F381">
        <v>75</v>
      </c>
      <c r="G381">
        <v>3.9</v>
      </c>
      <c r="H381">
        <v>4</v>
      </c>
    </row>
    <row r="382" spans="1:8" x14ac:dyDescent="0.25">
      <c r="A382" t="s">
        <v>404</v>
      </c>
      <c r="B382" t="s">
        <v>22</v>
      </c>
      <c r="C382">
        <v>69</v>
      </c>
      <c r="D382" t="s">
        <v>11</v>
      </c>
      <c r="E382" s="23">
        <v>45035</v>
      </c>
      <c r="F382">
        <v>32</v>
      </c>
      <c r="G382">
        <v>3.6</v>
      </c>
      <c r="H382">
        <v>4</v>
      </c>
    </row>
    <row r="383" spans="1:8" x14ac:dyDescent="0.25">
      <c r="A383" t="s">
        <v>405</v>
      </c>
      <c r="B383" t="s">
        <v>17</v>
      </c>
      <c r="C383">
        <v>107</v>
      </c>
      <c r="D383" t="s">
        <v>11</v>
      </c>
      <c r="E383" s="23">
        <v>45035</v>
      </c>
      <c r="F383">
        <v>156</v>
      </c>
      <c r="G383">
        <v>3.8</v>
      </c>
      <c r="H383">
        <v>4</v>
      </c>
    </row>
    <row r="384" spans="1:8" x14ac:dyDescent="0.25">
      <c r="A384" t="s">
        <v>406</v>
      </c>
      <c r="B384" t="s">
        <v>12</v>
      </c>
      <c r="C384">
        <v>90</v>
      </c>
      <c r="D384" t="s">
        <v>9</v>
      </c>
      <c r="E384" s="23">
        <v>45035</v>
      </c>
      <c r="F384">
        <v>99</v>
      </c>
      <c r="G384">
        <v>4.9000000000000004</v>
      </c>
      <c r="H384">
        <v>5</v>
      </c>
    </row>
    <row r="385" spans="1:8" x14ac:dyDescent="0.25">
      <c r="A385" t="s">
        <v>407</v>
      </c>
      <c r="B385" t="s">
        <v>20</v>
      </c>
      <c r="C385">
        <v>120</v>
      </c>
      <c r="D385" t="s">
        <v>6</v>
      </c>
      <c r="E385" s="23">
        <v>45035</v>
      </c>
      <c r="F385">
        <v>26</v>
      </c>
      <c r="G385">
        <v>4</v>
      </c>
      <c r="H385">
        <v>4</v>
      </c>
    </row>
    <row r="386" spans="1:8" x14ac:dyDescent="0.25">
      <c r="A386" t="s">
        <v>408</v>
      </c>
      <c r="B386" t="s">
        <v>8</v>
      </c>
      <c r="C386">
        <v>47</v>
      </c>
      <c r="D386" t="s">
        <v>11</v>
      </c>
      <c r="E386" s="23">
        <v>45035</v>
      </c>
      <c r="F386">
        <v>84</v>
      </c>
      <c r="G386">
        <v>4.0999999999999996</v>
      </c>
      <c r="H386">
        <v>4</v>
      </c>
    </row>
    <row r="387" spans="1:8" x14ac:dyDescent="0.25">
      <c r="A387" t="s">
        <v>409</v>
      </c>
      <c r="B387" t="s">
        <v>21</v>
      </c>
      <c r="C387">
        <v>60</v>
      </c>
      <c r="D387" t="s">
        <v>6</v>
      </c>
      <c r="E387" s="23">
        <v>45035</v>
      </c>
      <c r="F387">
        <v>84</v>
      </c>
      <c r="G387">
        <v>4.8</v>
      </c>
      <c r="H387">
        <v>5</v>
      </c>
    </row>
    <row r="388" spans="1:8" x14ac:dyDescent="0.25">
      <c r="A388" t="s">
        <v>410</v>
      </c>
      <c r="B388" t="s">
        <v>7</v>
      </c>
      <c r="C388">
        <v>64</v>
      </c>
      <c r="D388" t="s">
        <v>9</v>
      </c>
      <c r="E388" s="23">
        <v>45035</v>
      </c>
      <c r="F388">
        <v>170</v>
      </c>
      <c r="G388">
        <v>2.2999999999999998</v>
      </c>
      <c r="H388">
        <v>2</v>
      </c>
    </row>
    <row r="389" spans="1:8" x14ac:dyDescent="0.25">
      <c r="A389" t="s">
        <v>411</v>
      </c>
      <c r="B389" t="s">
        <v>5</v>
      </c>
      <c r="C389">
        <v>62</v>
      </c>
      <c r="D389" t="s">
        <v>11</v>
      </c>
      <c r="E389" s="23">
        <v>45035</v>
      </c>
      <c r="F389">
        <v>35</v>
      </c>
      <c r="G389">
        <v>4.4000000000000004</v>
      </c>
      <c r="H389">
        <v>4</v>
      </c>
    </row>
    <row r="390" spans="1:8" x14ac:dyDescent="0.25">
      <c r="A390" t="s">
        <v>412</v>
      </c>
      <c r="B390" t="s">
        <v>18</v>
      </c>
      <c r="C390">
        <v>88</v>
      </c>
      <c r="D390" t="s">
        <v>11</v>
      </c>
      <c r="E390" s="23">
        <v>45036</v>
      </c>
      <c r="F390">
        <v>35</v>
      </c>
      <c r="G390">
        <v>3.8</v>
      </c>
      <c r="H390">
        <v>4</v>
      </c>
    </row>
    <row r="391" spans="1:8" x14ac:dyDescent="0.25">
      <c r="A391" t="s">
        <v>413</v>
      </c>
      <c r="B391" t="s">
        <v>19</v>
      </c>
      <c r="C391">
        <v>116</v>
      </c>
      <c r="D391" t="s">
        <v>11</v>
      </c>
      <c r="E391" s="23">
        <v>45036</v>
      </c>
      <c r="F391">
        <v>132</v>
      </c>
      <c r="G391">
        <v>5</v>
      </c>
      <c r="H391">
        <v>5</v>
      </c>
    </row>
    <row r="392" spans="1:8" x14ac:dyDescent="0.25">
      <c r="A392" t="s">
        <v>414</v>
      </c>
      <c r="B392" t="s">
        <v>12</v>
      </c>
      <c r="C392">
        <v>82</v>
      </c>
      <c r="D392" t="s">
        <v>10</v>
      </c>
      <c r="E392" s="23">
        <v>45037</v>
      </c>
      <c r="F392">
        <v>144</v>
      </c>
      <c r="G392">
        <v>3.3</v>
      </c>
      <c r="H392">
        <v>3</v>
      </c>
    </row>
    <row r="393" spans="1:8" x14ac:dyDescent="0.25">
      <c r="A393" t="s">
        <v>415</v>
      </c>
      <c r="B393" t="s">
        <v>5</v>
      </c>
      <c r="C393">
        <v>99</v>
      </c>
      <c r="D393" t="s">
        <v>9</v>
      </c>
      <c r="E393" s="23">
        <v>45037</v>
      </c>
      <c r="F393">
        <v>48</v>
      </c>
      <c r="G393">
        <v>5</v>
      </c>
      <c r="H393">
        <v>5</v>
      </c>
    </row>
    <row r="394" spans="1:8" x14ac:dyDescent="0.25">
      <c r="A394" t="s">
        <v>416</v>
      </c>
      <c r="B394" t="s">
        <v>5</v>
      </c>
      <c r="C394">
        <v>55</v>
      </c>
      <c r="D394" t="s">
        <v>10</v>
      </c>
      <c r="E394" s="23">
        <v>45037</v>
      </c>
      <c r="F394">
        <v>200</v>
      </c>
      <c r="G394">
        <v>2.2999999999999998</v>
      </c>
      <c r="H394">
        <v>2</v>
      </c>
    </row>
    <row r="395" spans="1:8" x14ac:dyDescent="0.25">
      <c r="A395" t="s">
        <v>417</v>
      </c>
      <c r="B395" t="s">
        <v>7</v>
      </c>
      <c r="C395">
        <v>61</v>
      </c>
      <c r="D395" t="s">
        <v>6</v>
      </c>
      <c r="E395" s="23">
        <v>45037</v>
      </c>
      <c r="F395">
        <v>38</v>
      </c>
      <c r="G395">
        <v>4.8</v>
      </c>
      <c r="H395">
        <v>5</v>
      </c>
    </row>
    <row r="396" spans="1:8" x14ac:dyDescent="0.25">
      <c r="A396" t="s">
        <v>418</v>
      </c>
      <c r="B396" t="s">
        <v>19</v>
      </c>
      <c r="C396">
        <v>36</v>
      </c>
      <c r="D396" t="s">
        <v>13</v>
      </c>
      <c r="E396" s="23">
        <v>45037</v>
      </c>
      <c r="F396">
        <v>81</v>
      </c>
      <c r="G396">
        <v>3.7</v>
      </c>
      <c r="H396">
        <v>4</v>
      </c>
    </row>
    <row r="397" spans="1:8" x14ac:dyDescent="0.25">
      <c r="A397" t="s">
        <v>419</v>
      </c>
      <c r="B397" t="s">
        <v>12</v>
      </c>
      <c r="C397">
        <v>123</v>
      </c>
      <c r="D397" t="s">
        <v>11</v>
      </c>
      <c r="E397" s="23">
        <v>45037</v>
      </c>
      <c r="F397">
        <v>120</v>
      </c>
      <c r="G397">
        <v>4.2</v>
      </c>
      <c r="H397">
        <v>4</v>
      </c>
    </row>
    <row r="398" spans="1:8" x14ac:dyDescent="0.25">
      <c r="A398" t="s">
        <v>420</v>
      </c>
      <c r="B398" t="s">
        <v>24</v>
      </c>
      <c r="C398">
        <v>24</v>
      </c>
      <c r="D398" t="s">
        <v>6</v>
      </c>
      <c r="E398" s="23">
        <v>45037</v>
      </c>
      <c r="F398">
        <v>74</v>
      </c>
      <c r="G398">
        <v>4.8</v>
      </c>
      <c r="H398">
        <v>5</v>
      </c>
    </row>
    <row r="399" spans="1:8" x14ac:dyDescent="0.25">
      <c r="A399" t="s">
        <v>421</v>
      </c>
      <c r="B399" t="s">
        <v>12</v>
      </c>
      <c r="C399">
        <v>43</v>
      </c>
      <c r="D399" t="s">
        <v>11</v>
      </c>
      <c r="E399" s="23">
        <v>45038</v>
      </c>
      <c r="F399">
        <v>128</v>
      </c>
      <c r="G399">
        <v>4.7</v>
      </c>
      <c r="H399">
        <v>5</v>
      </c>
    </row>
    <row r="400" spans="1:8" x14ac:dyDescent="0.25">
      <c r="A400" t="s">
        <v>422</v>
      </c>
      <c r="B400" t="s">
        <v>21</v>
      </c>
      <c r="C400">
        <v>95</v>
      </c>
      <c r="D400" t="s">
        <v>9</v>
      </c>
      <c r="E400" s="23">
        <v>45038</v>
      </c>
      <c r="F400">
        <v>21</v>
      </c>
      <c r="G400">
        <v>3.9</v>
      </c>
      <c r="H400">
        <v>4</v>
      </c>
    </row>
    <row r="401" spans="1:8" x14ac:dyDescent="0.25">
      <c r="A401" t="s">
        <v>423</v>
      </c>
      <c r="B401" t="s">
        <v>5</v>
      </c>
      <c r="C401">
        <v>53</v>
      </c>
      <c r="D401" t="s">
        <v>11</v>
      </c>
      <c r="E401" s="23">
        <v>45038</v>
      </c>
      <c r="F401">
        <v>110</v>
      </c>
      <c r="G401">
        <v>4.3</v>
      </c>
      <c r="H401">
        <v>4</v>
      </c>
    </row>
    <row r="402" spans="1:8" x14ac:dyDescent="0.25">
      <c r="A402" t="s">
        <v>424</v>
      </c>
      <c r="B402" t="s">
        <v>12</v>
      </c>
      <c r="C402">
        <v>113</v>
      </c>
      <c r="D402" t="s">
        <v>11</v>
      </c>
      <c r="E402" s="23">
        <v>45038</v>
      </c>
      <c r="F402">
        <v>145</v>
      </c>
      <c r="G402">
        <v>4</v>
      </c>
      <c r="H402">
        <v>4</v>
      </c>
    </row>
    <row r="403" spans="1:8" x14ac:dyDescent="0.25">
      <c r="A403" t="s">
        <v>425</v>
      </c>
      <c r="B403" t="s">
        <v>5</v>
      </c>
      <c r="C403">
        <v>89</v>
      </c>
      <c r="D403" t="s">
        <v>13</v>
      </c>
      <c r="E403" s="23">
        <v>45038</v>
      </c>
      <c r="F403">
        <v>129</v>
      </c>
      <c r="G403">
        <v>4</v>
      </c>
      <c r="H403">
        <v>4</v>
      </c>
    </row>
    <row r="404" spans="1:8" x14ac:dyDescent="0.25">
      <c r="A404" t="s">
        <v>426</v>
      </c>
      <c r="B404" t="s">
        <v>18</v>
      </c>
      <c r="C404">
        <v>84</v>
      </c>
      <c r="D404" t="s">
        <v>10</v>
      </c>
      <c r="E404" s="23">
        <v>45038</v>
      </c>
      <c r="F404">
        <v>156</v>
      </c>
      <c r="G404">
        <v>3.2</v>
      </c>
      <c r="H404">
        <v>3</v>
      </c>
    </row>
    <row r="405" spans="1:8" x14ac:dyDescent="0.25">
      <c r="A405" t="s">
        <v>427</v>
      </c>
      <c r="B405" t="s">
        <v>24</v>
      </c>
      <c r="C405">
        <v>130</v>
      </c>
      <c r="D405" t="s">
        <v>11</v>
      </c>
      <c r="E405" s="23">
        <v>45039</v>
      </c>
      <c r="F405">
        <v>120</v>
      </c>
      <c r="G405">
        <v>3.8</v>
      </c>
      <c r="H405">
        <v>4</v>
      </c>
    </row>
    <row r="406" spans="1:8" x14ac:dyDescent="0.25">
      <c r="A406" t="s">
        <v>428</v>
      </c>
      <c r="B406" t="s">
        <v>21</v>
      </c>
      <c r="C406">
        <v>163</v>
      </c>
      <c r="D406" t="s">
        <v>13</v>
      </c>
      <c r="E406" s="23">
        <v>45039</v>
      </c>
      <c r="F406">
        <v>62</v>
      </c>
      <c r="G406">
        <v>3.4</v>
      </c>
      <c r="H406">
        <v>3</v>
      </c>
    </row>
    <row r="407" spans="1:8" x14ac:dyDescent="0.25">
      <c r="A407" t="s">
        <v>429</v>
      </c>
      <c r="B407" t="s">
        <v>22</v>
      </c>
      <c r="C407">
        <v>127</v>
      </c>
      <c r="D407" t="s">
        <v>11</v>
      </c>
      <c r="E407" s="23">
        <v>45039</v>
      </c>
      <c r="F407">
        <v>160</v>
      </c>
      <c r="G407">
        <v>3.2</v>
      </c>
      <c r="H407">
        <v>3</v>
      </c>
    </row>
    <row r="408" spans="1:8" x14ac:dyDescent="0.25">
      <c r="A408" t="s">
        <v>430</v>
      </c>
      <c r="B408" t="s">
        <v>12</v>
      </c>
      <c r="C408">
        <v>50</v>
      </c>
      <c r="D408" t="s">
        <v>11</v>
      </c>
      <c r="E408" s="23">
        <v>45039</v>
      </c>
      <c r="F408">
        <v>56</v>
      </c>
      <c r="G408">
        <v>4.7</v>
      </c>
      <c r="H408">
        <v>5</v>
      </c>
    </row>
    <row r="409" spans="1:8" x14ac:dyDescent="0.25">
      <c r="A409" t="s">
        <v>431</v>
      </c>
      <c r="B409" t="s">
        <v>15</v>
      </c>
      <c r="C409">
        <v>88</v>
      </c>
      <c r="D409" t="s">
        <v>6</v>
      </c>
      <c r="E409" s="23">
        <v>45039</v>
      </c>
      <c r="F409">
        <v>72</v>
      </c>
      <c r="G409">
        <v>4</v>
      </c>
      <c r="H409">
        <v>4</v>
      </c>
    </row>
    <row r="410" spans="1:8" x14ac:dyDescent="0.25">
      <c r="A410" t="s">
        <v>432</v>
      </c>
      <c r="B410" t="s">
        <v>12</v>
      </c>
      <c r="C410">
        <v>139</v>
      </c>
      <c r="D410" t="s">
        <v>9</v>
      </c>
      <c r="E410" s="23">
        <v>45040</v>
      </c>
      <c r="F410">
        <v>81</v>
      </c>
      <c r="G410">
        <v>4.8</v>
      </c>
      <c r="H410">
        <v>5</v>
      </c>
    </row>
    <row r="411" spans="1:8" x14ac:dyDescent="0.25">
      <c r="A411" t="s">
        <v>433</v>
      </c>
      <c r="B411" t="s">
        <v>21</v>
      </c>
      <c r="C411">
        <v>111</v>
      </c>
      <c r="D411" t="s">
        <v>11</v>
      </c>
      <c r="E411" s="23">
        <v>45040</v>
      </c>
      <c r="F411">
        <v>144</v>
      </c>
      <c r="G411">
        <v>3.9</v>
      </c>
      <c r="H411">
        <v>4</v>
      </c>
    </row>
    <row r="412" spans="1:8" x14ac:dyDescent="0.25">
      <c r="A412" t="s">
        <v>434</v>
      </c>
      <c r="B412" t="s">
        <v>23</v>
      </c>
      <c r="C412">
        <v>115</v>
      </c>
      <c r="D412" t="s">
        <v>9</v>
      </c>
      <c r="E412" s="23">
        <v>45040</v>
      </c>
      <c r="F412">
        <v>111</v>
      </c>
      <c r="G412">
        <v>4.3</v>
      </c>
      <c r="H412">
        <v>4</v>
      </c>
    </row>
    <row r="413" spans="1:8" x14ac:dyDescent="0.25">
      <c r="A413" t="s">
        <v>435</v>
      </c>
      <c r="B413" t="s">
        <v>5</v>
      </c>
      <c r="C413">
        <v>26</v>
      </c>
      <c r="D413" t="s">
        <v>13</v>
      </c>
      <c r="E413" s="23">
        <v>45040</v>
      </c>
      <c r="F413">
        <v>43</v>
      </c>
      <c r="G413">
        <v>4.2</v>
      </c>
      <c r="H413">
        <v>4</v>
      </c>
    </row>
    <row r="414" spans="1:8" x14ac:dyDescent="0.25">
      <c r="A414" t="s">
        <v>436</v>
      </c>
      <c r="B414" t="s">
        <v>18</v>
      </c>
      <c r="C414">
        <v>131</v>
      </c>
      <c r="D414" t="s">
        <v>6</v>
      </c>
      <c r="E414" s="23">
        <v>45040</v>
      </c>
      <c r="F414">
        <v>41</v>
      </c>
      <c r="G414">
        <v>4.9000000000000004</v>
      </c>
      <c r="H414">
        <v>5</v>
      </c>
    </row>
    <row r="415" spans="1:8" x14ac:dyDescent="0.25">
      <c r="A415" t="s">
        <v>437</v>
      </c>
      <c r="B415" t="s">
        <v>23</v>
      </c>
      <c r="C415">
        <v>27</v>
      </c>
      <c r="D415" t="s">
        <v>6</v>
      </c>
      <c r="E415" s="23">
        <v>45040</v>
      </c>
      <c r="F415">
        <v>74</v>
      </c>
      <c r="G415">
        <v>4</v>
      </c>
      <c r="H415">
        <v>4</v>
      </c>
    </row>
    <row r="416" spans="1:8" x14ac:dyDescent="0.25">
      <c r="A416" t="s">
        <v>438</v>
      </c>
      <c r="B416" t="s">
        <v>16</v>
      </c>
      <c r="C416">
        <v>75</v>
      </c>
      <c r="D416" t="s">
        <v>11</v>
      </c>
      <c r="E416" s="23">
        <v>45040</v>
      </c>
      <c r="F416">
        <v>43</v>
      </c>
      <c r="G416">
        <v>4.9000000000000004</v>
      </c>
      <c r="H416">
        <v>5</v>
      </c>
    </row>
    <row r="417" spans="1:8" x14ac:dyDescent="0.25">
      <c r="A417" t="s">
        <v>439</v>
      </c>
      <c r="B417" t="s">
        <v>7</v>
      </c>
      <c r="C417">
        <v>123</v>
      </c>
      <c r="D417" t="s">
        <v>6</v>
      </c>
      <c r="E417" s="23">
        <v>45040</v>
      </c>
      <c r="F417">
        <v>128</v>
      </c>
      <c r="G417">
        <v>3.6</v>
      </c>
      <c r="H417">
        <v>4</v>
      </c>
    </row>
    <row r="418" spans="1:8" x14ac:dyDescent="0.25">
      <c r="A418" t="s">
        <v>440</v>
      </c>
      <c r="B418" t="s">
        <v>20</v>
      </c>
      <c r="C418">
        <v>129</v>
      </c>
      <c r="D418" t="s">
        <v>6</v>
      </c>
      <c r="E418" s="23">
        <v>45041</v>
      </c>
      <c r="F418">
        <v>144</v>
      </c>
      <c r="G418">
        <v>4.0999999999999996</v>
      </c>
      <c r="H418">
        <v>4</v>
      </c>
    </row>
    <row r="419" spans="1:8" x14ac:dyDescent="0.25">
      <c r="A419" t="s">
        <v>441</v>
      </c>
      <c r="B419" t="s">
        <v>16</v>
      </c>
      <c r="C419">
        <v>124</v>
      </c>
      <c r="D419" t="s">
        <v>9</v>
      </c>
      <c r="E419" s="23">
        <v>45041</v>
      </c>
      <c r="F419">
        <v>132</v>
      </c>
      <c r="G419">
        <v>4.9000000000000004</v>
      </c>
      <c r="H419">
        <v>5</v>
      </c>
    </row>
    <row r="420" spans="1:8" x14ac:dyDescent="0.25">
      <c r="A420" t="s">
        <v>442</v>
      </c>
      <c r="B420" t="s">
        <v>23</v>
      </c>
      <c r="C420">
        <v>108</v>
      </c>
      <c r="D420" t="s">
        <v>9</v>
      </c>
      <c r="E420" s="23">
        <v>45041</v>
      </c>
      <c r="F420">
        <v>180</v>
      </c>
      <c r="G420">
        <v>3.9</v>
      </c>
      <c r="H420">
        <v>4</v>
      </c>
    </row>
    <row r="421" spans="1:8" x14ac:dyDescent="0.25">
      <c r="A421" t="s">
        <v>443</v>
      </c>
      <c r="B421" t="s">
        <v>8</v>
      </c>
      <c r="C421">
        <v>15</v>
      </c>
      <c r="D421" t="s">
        <v>9</v>
      </c>
      <c r="E421" s="23">
        <v>45041</v>
      </c>
      <c r="F421">
        <v>31</v>
      </c>
      <c r="G421">
        <v>4.0999999999999996</v>
      </c>
      <c r="H421">
        <v>4</v>
      </c>
    </row>
    <row r="422" spans="1:8" x14ac:dyDescent="0.25">
      <c r="A422" t="s">
        <v>444</v>
      </c>
      <c r="B422" t="s">
        <v>23</v>
      </c>
      <c r="C422">
        <v>66</v>
      </c>
      <c r="D422" t="s">
        <v>9</v>
      </c>
      <c r="E422" s="23">
        <v>45041</v>
      </c>
      <c r="F422">
        <v>102</v>
      </c>
      <c r="G422">
        <v>3.8</v>
      </c>
      <c r="H422">
        <v>4</v>
      </c>
    </row>
    <row r="423" spans="1:8" x14ac:dyDescent="0.25">
      <c r="A423" t="s">
        <v>445</v>
      </c>
      <c r="B423" t="s">
        <v>15</v>
      </c>
      <c r="C423">
        <v>126</v>
      </c>
      <c r="D423" t="s">
        <v>11</v>
      </c>
      <c r="E423" s="23">
        <v>45042</v>
      </c>
      <c r="F423">
        <v>175</v>
      </c>
      <c r="G423">
        <v>4.8</v>
      </c>
      <c r="H423">
        <v>5</v>
      </c>
    </row>
    <row r="424" spans="1:8" x14ac:dyDescent="0.25">
      <c r="A424" t="s">
        <v>446</v>
      </c>
      <c r="B424" t="s">
        <v>16</v>
      </c>
      <c r="C424">
        <v>26</v>
      </c>
      <c r="D424" t="s">
        <v>10</v>
      </c>
      <c r="E424" s="23">
        <v>45042</v>
      </c>
      <c r="F424">
        <v>87</v>
      </c>
      <c r="G424">
        <v>4.7</v>
      </c>
      <c r="H424">
        <v>5</v>
      </c>
    </row>
    <row r="425" spans="1:8" x14ac:dyDescent="0.25">
      <c r="A425" t="s">
        <v>447</v>
      </c>
      <c r="B425" t="s">
        <v>24</v>
      </c>
      <c r="C425">
        <v>105</v>
      </c>
      <c r="D425" t="s">
        <v>11</v>
      </c>
      <c r="E425" s="23">
        <v>45042</v>
      </c>
      <c r="F425">
        <v>66</v>
      </c>
      <c r="G425">
        <v>4.2</v>
      </c>
      <c r="H425">
        <v>4</v>
      </c>
    </row>
    <row r="426" spans="1:8" x14ac:dyDescent="0.25">
      <c r="A426" t="s">
        <v>448</v>
      </c>
      <c r="B426" t="s">
        <v>24</v>
      </c>
      <c r="C426">
        <v>31</v>
      </c>
      <c r="D426" t="s">
        <v>11</v>
      </c>
      <c r="E426" s="23">
        <v>45042</v>
      </c>
      <c r="F426">
        <v>25</v>
      </c>
      <c r="G426">
        <v>3.2</v>
      </c>
      <c r="H426">
        <v>3</v>
      </c>
    </row>
    <row r="427" spans="1:8" x14ac:dyDescent="0.25">
      <c r="A427" t="s">
        <v>449</v>
      </c>
      <c r="B427" t="s">
        <v>23</v>
      </c>
      <c r="C427">
        <v>109</v>
      </c>
      <c r="D427" t="s">
        <v>9</v>
      </c>
      <c r="E427" s="23">
        <v>45042</v>
      </c>
      <c r="F427">
        <v>126</v>
      </c>
      <c r="G427">
        <v>3.4</v>
      </c>
      <c r="H427">
        <v>3</v>
      </c>
    </row>
    <row r="428" spans="1:8" x14ac:dyDescent="0.25">
      <c r="A428" t="s">
        <v>450</v>
      </c>
      <c r="B428" t="s">
        <v>20</v>
      </c>
      <c r="C428">
        <v>113</v>
      </c>
      <c r="D428" t="s">
        <v>13</v>
      </c>
      <c r="E428" s="23">
        <v>45043</v>
      </c>
      <c r="F428">
        <v>42</v>
      </c>
      <c r="G428">
        <v>4.5999999999999996</v>
      </c>
      <c r="H428">
        <v>5</v>
      </c>
    </row>
    <row r="429" spans="1:8" x14ac:dyDescent="0.25">
      <c r="A429" t="s">
        <v>451</v>
      </c>
      <c r="B429" t="s">
        <v>15</v>
      </c>
      <c r="C429">
        <v>101</v>
      </c>
      <c r="D429" t="s">
        <v>10</v>
      </c>
      <c r="E429" s="23">
        <v>45043</v>
      </c>
      <c r="F429">
        <v>225</v>
      </c>
      <c r="G429">
        <v>1.9</v>
      </c>
      <c r="H429">
        <v>2</v>
      </c>
    </row>
    <row r="430" spans="1:8" x14ac:dyDescent="0.25">
      <c r="A430" t="s">
        <v>452</v>
      </c>
      <c r="B430" t="s">
        <v>21</v>
      </c>
      <c r="C430">
        <v>156</v>
      </c>
      <c r="D430" t="s">
        <v>10</v>
      </c>
      <c r="E430" s="23">
        <v>45043</v>
      </c>
      <c r="F430">
        <v>42</v>
      </c>
      <c r="G430">
        <v>3.3</v>
      </c>
      <c r="H430">
        <v>3</v>
      </c>
    </row>
    <row r="431" spans="1:8" x14ac:dyDescent="0.25">
      <c r="A431" t="s">
        <v>453</v>
      </c>
      <c r="B431" t="s">
        <v>23</v>
      </c>
      <c r="C431">
        <v>145</v>
      </c>
      <c r="D431" t="s">
        <v>13</v>
      </c>
      <c r="E431" s="23">
        <v>45044</v>
      </c>
      <c r="F431">
        <v>110</v>
      </c>
      <c r="G431">
        <v>3.1</v>
      </c>
      <c r="H431">
        <v>3</v>
      </c>
    </row>
    <row r="432" spans="1:8" x14ac:dyDescent="0.25">
      <c r="A432" t="s">
        <v>454</v>
      </c>
      <c r="B432" t="s">
        <v>7</v>
      </c>
      <c r="C432">
        <v>36</v>
      </c>
      <c r="D432" t="s">
        <v>9</v>
      </c>
      <c r="E432" s="23">
        <v>45044</v>
      </c>
      <c r="F432">
        <v>225</v>
      </c>
      <c r="G432">
        <v>4.8</v>
      </c>
      <c r="H432">
        <v>5</v>
      </c>
    </row>
    <row r="433" spans="1:8" x14ac:dyDescent="0.25">
      <c r="A433" t="s">
        <v>455</v>
      </c>
      <c r="B433" t="s">
        <v>24</v>
      </c>
      <c r="C433">
        <v>135</v>
      </c>
      <c r="D433" t="s">
        <v>6</v>
      </c>
      <c r="E433" s="23">
        <v>45045</v>
      </c>
      <c r="F433">
        <v>125</v>
      </c>
      <c r="G433">
        <v>3.3</v>
      </c>
      <c r="H433">
        <v>3</v>
      </c>
    </row>
    <row r="434" spans="1:8" x14ac:dyDescent="0.25">
      <c r="A434" t="s">
        <v>456</v>
      </c>
      <c r="B434" t="s">
        <v>15</v>
      </c>
      <c r="C434">
        <v>81</v>
      </c>
      <c r="D434" t="s">
        <v>9</v>
      </c>
      <c r="E434" s="23">
        <v>45045</v>
      </c>
      <c r="F434">
        <v>78</v>
      </c>
      <c r="G434">
        <v>2.9</v>
      </c>
      <c r="H434">
        <v>3</v>
      </c>
    </row>
    <row r="435" spans="1:8" x14ac:dyDescent="0.25">
      <c r="A435" t="s">
        <v>457</v>
      </c>
      <c r="B435" t="s">
        <v>15</v>
      </c>
      <c r="C435">
        <v>81</v>
      </c>
      <c r="D435" t="s">
        <v>13</v>
      </c>
      <c r="E435" s="23">
        <v>45045</v>
      </c>
      <c r="F435">
        <v>40</v>
      </c>
      <c r="G435">
        <v>2.4</v>
      </c>
      <c r="H435">
        <v>2</v>
      </c>
    </row>
    <row r="436" spans="1:8" x14ac:dyDescent="0.25">
      <c r="A436" t="s">
        <v>458</v>
      </c>
      <c r="B436" t="s">
        <v>22</v>
      </c>
      <c r="C436">
        <v>93</v>
      </c>
      <c r="D436" t="s">
        <v>11</v>
      </c>
      <c r="E436" s="23">
        <v>45045</v>
      </c>
      <c r="F436">
        <v>150</v>
      </c>
      <c r="G436">
        <v>4.5999999999999996</v>
      </c>
      <c r="H436">
        <v>5</v>
      </c>
    </row>
    <row r="437" spans="1:8" x14ac:dyDescent="0.25">
      <c r="A437" t="s">
        <v>459</v>
      </c>
      <c r="B437" t="s">
        <v>23</v>
      </c>
      <c r="C437">
        <v>14</v>
      </c>
      <c r="D437" t="s">
        <v>9</v>
      </c>
      <c r="E437" s="23">
        <v>45045</v>
      </c>
      <c r="F437">
        <v>96</v>
      </c>
      <c r="G437">
        <v>4.8</v>
      </c>
      <c r="H437">
        <v>5</v>
      </c>
    </row>
    <row r="438" spans="1:8" x14ac:dyDescent="0.25">
      <c r="A438" t="s">
        <v>460</v>
      </c>
      <c r="B438" t="s">
        <v>24</v>
      </c>
      <c r="C438">
        <v>95</v>
      </c>
      <c r="D438" t="s">
        <v>13</v>
      </c>
      <c r="E438" s="23">
        <v>45046</v>
      </c>
      <c r="F438">
        <v>75</v>
      </c>
      <c r="G438">
        <v>4.8</v>
      </c>
      <c r="H438">
        <v>5</v>
      </c>
    </row>
    <row r="439" spans="1:8" x14ac:dyDescent="0.25">
      <c r="A439" t="s">
        <v>461</v>
      </c>
      <c r="B439" t="s">
        <v>22</v>
      </c>
      <c r="C439">
        <v>81</v>
      </c>
      <c r="D439" t="s">
        <v>13</v>
      </c>
      <c r="E439" s="23">
        <v>45046</v>
      </c>
      <c r="F439">
        <v>60</v>
      </c>
      <c r="G439">
        <v>3.6</v>
      </c>
      <c r="H439">
        <v>4</v>
      </c>
    </row>
    <row r="440" spans="1:8" x14ac:dyDescent="0.25">
      <c r="A440" t="s">
        <v>462</v>
      </c>
      <c r="B440" t="s">
        <v>5</v>
      </c>
      <c r="C440">
        <v>60</v>
      </c>
      <c r="D440" t="s">
        <v>9</v>
      </c>
      <c r="E440" s="23">
        <v>45047</v>
      </c>
      <c r="F440">
        <v>41</v>
      </c>
      <c r="G440">
        <v>4.8</v>
      </c>
      <c r="H440">
        <v>5</v>
      </c>
    </row>
    <row r="441" spans="1:8" x14ac:dyDescent="0.25">
      <c r="A441" t="s">
        <v>463</v>
      </c>
      <c r="B441" t="s">
        <v>14</v>
      </c>
      <c r="C441">
        <v>137</v>
      </c>
      <c r="D441" t="s">
        <v>11</v>
      </c>
      <c r="E441" s="23">
        <v>45047</v>
      </c>
      <c r="F441">
        <v>20</v>
      </c>
      <c r="G441">
        <v>4.2</v>
      </c>
      <c r="H441">
        <v>4</v>
      </c>
    </row>
    <row r="442" spans="1:8" x14ac:dyDescent="0.25">
      <c r="A442" t="s">
        <v>464</v>
      </c>
      <c r="B442" t="s">
        <v>12</v>
      </c>
      <c r="C442">
        <v>112</v>
      </c>
      <c r="D442" t="s">
        <v>6</v>
      </c>
      <c r="E442" s="23">
        <v>45047</v>
      </c>
      <c r="F442">
        <v>84</v>
      </c>
      <c r="G442">
        <v>2.6</v>
      </c>
      <c r="H442">
        <v>3</v>
      </c>
    </row>
    <row r="443" spans="1:8" x14ac:dyDescent="0.25">
      <c r="A443" t="s">
        <v>465</v>
      </c>
      <c r="B443" t="s">
        <v>24</v>
      </c>
      <c r="C443">
        <v>76</v>
      </c>
      <c r="D443" t="s">
        <v>10</v>
      </c>
      <c r="E443" s="23">
        <v>45047</v>
      </c>
      <c r="F443">
        <v>140</v>
      </c>
      <c r="G443">
        <v>3.7</v>
      </c>
      <c r="H443">
        <v>4</v>
      </c>
    </row>
    <row r="444" spans="1:8" x14ac:dyDescent="0.25">
      <c r="A444" t="s">
        <v>466</v>
      </c>
      <c r="B444" t="s">
        <v>19</v>
      </c>
      <c r="C444">
        <v>73</v>
      </c>
      <c r="D444" t="s">
        <v>9</v>
      </c>
      <c r="E444" s="23">
        <v>45047</v>
      </c>
      <c r="F444">
        <v>66</v>
      </c>
      <c r="G444">
        <v>4.8</v>
      </c>
      <c r="H444">
        <v>5</v>
      </c>
    </row>
    <row r="445" spans="1:8" x14ac:dyDescent="0.25">
      <c r="A445" t="s">
        <v>467</v>
      </c>
      <c r="B445" t="s">
        <v>18</v>
      </c>
      <c r="C445">
        <v>119</v>
      </c>
      <c r="D445" t="s">
        <v>11</v>
      </c>
      <c r="E445" s="23">
        <v>45047</v>
      </c>
      <c r="F445">
        <v>105</v>
      </c>
      <c r="G445">
        <v>4.7</v>
      </c>
      <c r="H445">
        <v>5</v>
      </c>
    </row>
    <row r="446" spans="1:8" x14ac:dyDescent="0.25">
      <c r="A446" t="s">
        <v>468</v>
      </c>
      <c r="B446" t="s">
        <v>20</v>
      </c>
      <c r="C446">
        <v>135</v>
      </c>
      <c r="D446" t="s">
        <v>13</v>
      </c>
      <c r="E446" s="23">
        <v>45048</v>
      </c>
      <c r="F446">
        <v>104</v>
      </c>
      <c r="G446">
        <v>4.0999999999999996</v>
      </c>
      <c r="H446">
        <v>4</v>
      </c>
    </row>
    <row r="447" spans="1:8" x14ac:dyDescent="0.25">
      <c r="A447" t="s">
        <v>469</v>
      </c>
      <c r="B447" t="s">
        <v>14</v>
      </c>
      <c r="C447">
        <v>41</v>
      </c>
      <c r="D447" t="s">
        <v>6</v>
      </c>
      <c r="E447" s="23">
        <v>45048</v>
      </c>
      <c r="F447">
        <v>123</v>
      </c>
      <c r="G447">
        <v>3.2</v>
      </c>
      <c r="H447">
        <v>3</v>
      </c>
    </row>
    <row r="448" spans="1:8" x14ac:dyDescent="0.25">
      <c r="A448" t="s">
        <v>470</v>
      </c>
      <c r="B448" t="s">
        <v>23</v>
      </c>
      <c r="C448">
        <v>35</v>
      </c>
      <c r="D448" t="s">
        <v>13</v>
      </c>
      <c r="E448" s="23">
        <v>45049</v>
      </c>
      <c r="F448">
        <v>215</v>
      </c>
      <c r="G448">
        <v>4.3</v>
      </c>
      <c r="H448">
        <v>4</v>
      </c>
    </row>
    <row r="449" spans="1:8" x14ac:dyDescent="0.25">
      <c r="A449" t="s">
        <v>471</v>
      </c>
      <c r="B449" t="s">
        <v>20</v>
      </c>
      <c r="C449">
        <v>96</v>
      </c>
      <c r="D449" t="s">
        <v>9</v>
      </c>
      <c r="E449" s="23">
        <v>45049</v>
      </c>
      <c r="F449">
        <v>46</v>
      </c>
      <c r="G449">
        <v>0.7</v>
      </c>
      <c r="H449">
        <v>1</v>
      </c>
    </row>
    <row r="450" spans="1:8" x14ac:dyDescent="0.25">
      <c r="A450" t="s">
        <v>472</v>
      </c>
      <c r="B450" t="s">
        <v>22</v>
      </c>
      <c r="C450">
        <v>61</v>
      </c>
      <c r="D450" t="s">
        <v>6</v>
      </c>
      <c r="E450" s="23">
        <v>45049</v>
      </c>
      <c r="F450">
        <v>115</v>
      </c>
      <c r="G450">
        <v>3.7</v>
      </c>
      <c r="H450">
        <v>4</v>
      </c>
    </row>
    <row r="451" spans="1:8" x14ac:dyDescent="0.25">
      <c r="A451" t="s">
        <v>473</v>
      </c>
      <c r="B451" t="s">
        <v>20</v>
      </c>
      <c r="C451">
        <v>91</v>
      </c>
      <c r="D451" t="s">
        <v>6</v>
      </c>
      <c r="E451" s="23">
        <v>45049</v>
      </c>
      <c r="F451">
        <v>124</v>
      </c>
      <c r="G451">
        <v>3.9</v>
      </c>
      <c r="H451">
        <v>4</v>
      </c>
    </row>
    <row r="452" spans="1:8" x14ac:dyDescent="0.25">
      <c r="A452" t="s">
        <v>474</v>
      </c>
      <c r="B452" t="s">
        <v>17</v>
      </c>
      <c r="C452">
        <v>30</v>
      </c>
      <c r="D452" t="s">
        <v>6</v>
      </c>
      <c r="E452" s="23">
        <v>45050</v>
      </c>
      <c r="F452">
        <v>205</v>
      </c>
      <c r="G452">
        <v>4.5</v>
      </c>
      <c r="H452">
        <v>5</v>
      </c>
    </row>
    <row r="453" spans="1:8" x14ac:dyDescent="0.25">
      <c r="A453" t="s">
        <v>475</v>
      </c>
      <c r="B453" t="s">
        <v>5</v>
      </c>
      <c r="C453">
        <v>111</v>
      </c>
      <c r="D453" t="s">
        <v>11</v>
      </c>
      <c r="E453" s="23">
        <v>45050</v>
      </c>
      <c r="F453">
        <v>90</v>
      </c>
      <c r="G453">
        <v>2.8</v>
      </c>
      <c r="H453">
        <v>3</v>
      </c>
    </row>
    <row r="454" spans="1:8" x14ac:dyDescent="0.25">
      <c r="A454" t="s">
        <v>476</v>
      </c>
      <c r="B454" t="s">
        <v>22</v>
      </c>
      <c r="C454">
        <v>81</v>
      </c>
      <c r="D454" t="s">
        <v>9</v>
      </c>
      <c r="E454" s="23">
        <v>45050</v>
      </c>
      <c r="F454">
        <v>92</v>
      </c>
      <c r="G454">
        <v>4.9000000000000004</v>
      </c>
      <c r="H454">
        <v>5</v>
      </c>
    </row>
    <row r="455" spans="1:8" x14ac:dyDescent="0.25">
      <c r="A455" t="s">
        <v>477</v>
      </c>
      <c r="B455" t="s">
        <v>24</v>
      </c>
      <c r="C455">
        <v>40</v>
      </c>
      <c r="D455" t="s">
        <v>13</v>
      </c>
      <c r="E455" s="23">
        <v>45052</v>
      </c>
      <c r="F455">
        <v>108</v>
      </c>
      <c r="G455">
        <v>4.2</v>
      </c>
      <c r="H455">
        <v>4</v>
      </c>
    </row>
    <row r="456" spans="1:8" x14ac:dyDescent="0.25">
      <c r="A456" t="s">
        <v>478</v>
      </c>
      <c r="B456" t="s">
        <v>5</v>
      </c>
      <c r="C456">
        <v>143</v>
      </c>
      <c r="D456" t="s">
        <v>13</v>
      </c>
      <c r="E456" s="23">
        <v>45052</v>
      </c>
      <c r="F456">
        <v>54</v>
      </c>
      <c r="G456">
        <v>4.4000000000000004</v>
      </c>
      <c r="H456">
        <v>4</v>
      </c>
    </row>
    <row r="457" spans="1:8" x14ac:dyDescent="0.25">
      <c r="A457" t="s">
        <v>479</v>
      </c>
      <c r="B457" t="s">
        <v>24</v>
      </c>
      <c r="C457">
        <v>70</v>
      </c>
      <c r="D457" t="s">
        <v>13</v>
      </c>
      <c r="E457" s="23">
        <v>45053</v>
      </c>
      <c r="F457">
        <v>44</v>
      </c>
      <c r="G457">
        <v>3.5</v>
      </c>
      <c r="H457">
        <v>4</v>
      </c>
    </row>
    <row r="458" spans="1:8" x14ac:dyDescent="0.25">
      <c r="A458" t="s">
        <v>480</v>
      </c>
      <c r="B458" t="s">
        <v>19</v>
      </c>
      <c r="C458">
        <v>137</v>
      </c>
      <c r="D458" t="s">
        <v>13</v>
      </c>
      <c r="E458" s="23">
        <v>45053</v>
      </c>
      <c r="F458">
        <v>44</v>
      </c>
      <c r="G458">
        <v>4.7</v>
      </c>
      <c r="H458">
        <v>5</v>
      </c>
    </row>
    <row r="459" spans="1:8" x14ac:dyDescent="0.25">
      <c r="A459" t="s">
        <v>481</v>
      </c>
      <c r="B459" t="s">
        <v>20</v>
      </c>
      <c r="C459">
        <v>52</v>
      </c>
      <c r="D459" t="s">
        <v>9</v>
      </c>
      <c r="E459" s="23">
        <v>45054</v>
      </c>
      <c r="F459">
        <v>37</v>
      </c>
      <c r="G459">
        <v>4.9000000000000004</v>
      </c>
      <c r="H459">
        <v>5</v>
      </c>
    </row>
    <row r="460" spans="1:8" x14ac:dyDescent="0.25">
      <c r="A460" t="s">
        <v>482</v>
      </c>
      <c r="B460" t="s">
        <v>12</v>
      </c>
      <c r="C460">
        <v>31</v>
      </c>
      <c r="D460" t="s">
        <v>11</v>
      </c>
      <c r="E460" s="23">
        <v>45054</v>
      </c>
      <c r="F460">
        <v>180</v>
      </c>
      <c r="G460">
        <v>4.5</v>
      </c>
      <c r="H460">
        <v>5</v>
      </c>
    </row>
    <row r="461" spans="1:8" x14ac:dyDescent="0.25">
      <c r="A461" t="s">
        <v>483</v>
      </c>
      <c r="B461" t="s">
        <v>20</v>
      </c>
      <c r="C461">
        <v>114</v>
      </c>
      <c r="D461" t="s">
        <v>6</v>
      </c>
      <c r="E461" s="23">
        <v>45054</v>
      </c>
      <c r="F461">
        <v>105</v>
      </c>
      <c r="G461">
        <v>4.9000000000000004</v>
      </c>
      <c r="H461">
        <v>5</v>
      </c>
    </row>
    <row r="462" spans="1:8" x14ac:dyDescent="0.25">
      <c r="A462" t="s">
        <v>484</v>
      </c>
      <c r="B462" t="s">
        <v>19</v>
      </c>
      <c r="C462">
        <v>73</v>
      </c>
      <c r="D462" t="s">
        <v>10</v>
      </c>
      <c r="E462" s="23">
        <v>45054</v>
      </c>
      <c r="F462">
        <v>87</v>
      </c>
      <c r="G462">
        <v>3.6</v>
      </c>
      <c r="H462">
        <v>4</v>
      </c>
    </row>
    <row r="463" spans="1:8" x14ac:dyDescent="0.25">
      <c r="A463" t="s">
        <v>485</v>
      </c>
      <c r="B463" t="s">
        <v>22</v>
      </c>
      <c r="C463">
        <v>25</v>
      </c>
      <c r="D463" t="s">
        <v>11</v>
      </c>
      <c r="E463" s="23">
        <v>45054</v>
      </c>
      <c r="F463">
        <v>52</v>
      </c>
      <c r="G463">
        <v>3.8</v>
      </c>
      <c r="H463">
        <v>4</v>
      </c>
    </row>
    <row r="464" spans="1:8" x14ac:dyDescent="0.25">
      <c r="A464" t="s">
        <v>486</v>
      </c>
      <c r="B464" t="s">
        <v>8</v>
      </c>
      <c r="C464">
        <v>44</v>
      </c>
      <c r="D464" t="s">
        <v>6</v>
      </c>
      <c r="E464" s="23">
        <v>45054</v>
      </c>
      <c r="F464">
        <v>63</v>
      </c>
      <c r="G464">
        <v>3.5</v>
      </c>
      <c r="H464">
        <v>4</v>
      </c>
    </row>
    <row r="465" spans="1:8" x14ac:dyDescent="0.25">
      <c r="A465" t="s">
        <v>487</v>
      </c>
      <c r="B465" t="s">
        <v>7</v>
      </c>
      <c r="C465">
        <v>34</v>
      </c>
      <c r="D465" t="s">
        <v>9</v>
      </c>
      <c r="E465" s="23">
        <v>45055</v>
      </c>
      <c r="F465">
        <v>195</v>
      </c>
      <c r="G465">
        <v>4.8</v>
      </c>
      <c r="H465">
        <v>5</v>
      </c>
    </row>
    <row r="466" spans="1:8" x14ac:dyDescent="0.25">
      <c r="A466" t="s">
        <v>488</v>
      </c>
      <c r="B466" t="s">
        <v>5</v>
      </c>
      <c r="C466">
        <v>89</v>
      </c>
      <c r="D466" t="s">
        <v>13</v>
      </c>
      <c r="E466" s="23">
        <v>45056</v>
      </c>
      <c r="F466">
        <v>176</v>
      </c>
      <c r="G466">
        <v>4.5</v>
      </c>
      <c r="H466">
        <v>5</v>
      </c>
    </row>
    <row r="467" spans="1:8" x14ac:dyDescent="0.25">
      <c r="A467" t="s">
        <v>489</v>
      </c>
      <c r="B467" t="s">
        <v>18</v>
      </c>
      <c r="C467">
        <v>54</v>
      </c>
      <c r="D467" t="s">
        <v>11</v>
      </c>
      <c r="E467" s="23">
        <v>45057</v>
      </c>
      <c r="F467">
        <v>31</v>
      </c>
      <c r="G467">
        <v>3.3</v>
      </c>
      <c r="H467">
        <v>3</v>
      </c>
    </row>
    <row r="468" spans="1:8" x14ac:dyDescent="0.25">
      <c r="A468" t="s">
        <v>490</v>
      </c>
      <c r="B468" t="s">
        <v>23</v>
      </c>
      <c r="C468">
        <v>25</v>
      </c>
      <c r="D468" t="s">
        <v>11</v>
      </c>
      <c r="E468" s="23">
        <v>45058</v>
      </c>
      <c r="F468">
        <v>27</v>
      </c>
      <c r="G468">
        <v>3.2</v>
      </c>
      <c r="H468">
        <v>3</v>
      </c>
    </row>
    <row r="469" spans="1:8" x14ac:dyDescent="0.25">
      <c r="A469" t="s">
        <v>491</v>
      </c>
      <c r="B469" t="s">
        <v>14</v>
      </c>
      <c r="C469">
        <v>91</v>
      </c>
      <c r="D469" t="s">
        <v>13</v>
      </c>
      <c r="E469" s="23">
        <v>45058</v>
      </c>
      <c r="F469">
        <v>76</v>
      </c>
      <c r="G469">
        <v>4.9000000000000004</v>
      </c>
      <c r="H469">
        <v>5</v>
      </c>
    </row>
    <row r="470" spans="1:8" x14ac:dyDescent="0.25">
      <c r="A470" t="s">
        <v>492</v>
      </c>
      <c r="B470" t="s">
        <v>8</v>
      </c>
      <c r="C470">
        <v>144</v>
      </c>
      <c r="D470" t="s">
        <v>6</v>
      </c>
      <c r="E470" s="23">
        <v>45058</v>
      </c>
      <c r="F470">
        <v>62</v>
      </c>
      <c r="G470">
        <v>4.8</v>
      </c>
      <c r="H470">
        <v>5</v>
      </c>
    </row>
    <row r="471" spans="1:8" x14ac:dyDescent="0.25">
      <c r="A471" t="s">
        <v>493</v>
      </c>
      <c r="B471" t="s">
        <v>14</v>
      </c>
      <c r="C471">
        <v>81</v>
      </c>
      <c r="D471" t="s">
        <v>9</v>
      </c>
      <c r="E471" s="23">
        <v>45060</v>
      </c>
      <c r="F471">
        <v>100</v>
      </c>
      <c r="G471">
        <v>1.3</v>
      </c>
      <c r="H471">
        <v>1</v>
      </c>
    </row>
    <row r="472" spans="1:8" x14ac:dyDescent="0.25">
      <c r="A472" t="s">
        <v>494</v>
      </c>
      <c r="B472" t="s">
        <v>17</v>
      </c>
      <c r="C472">
        <v>92</v>
      </c>
      <c r="D472" t="s">
        <v>11</v>
      </c>
      <c r="E472" s="23">
        <v>45060</v>
      </c>
      <c r="F472">
        <v>44</v>
      </c>
      <c r="G472">
        <v>3.1</v>
      </c>
      <c r="H472">
        <v>3</v>
      </c>
    </row>
    <row r="473" spans="1:8" x14ac:dyDescent="0.25">
      <c r="A473" t="s">
        <v>495</v>
      </c>
      <c r="B473" t="s">
        <v>23</v>
      </c>
      <c r="C473">
        <v>115</v>
      </c>
      <c r="D473" t="s">
        <v>13</v>
      </c>
      <c r="E473" s="23">
        <v>45060</v>
      </c>
      <c r="F473">
        <v>168</v>
      </c>
      <c r="G473">
        <v>3.4</v>
      </c>
      <c r="H473">
        <v>3</v>
      </c>
    </row>
    <row r="474" spans="1:8" x14ac:dyDescent="0.25">
      <c r="A474" t="s">
        <v>496</v>
      </c>
      <c r="B474" t="s">
        <v>15</v>
      </c>
      <c r="C474">
        <v>56</v>
      </c>
      <c r="D474" t="s">
        <v>13</v>
      </c>
      <c r="E474" s="23">
        <v>45061</v>
      </c>
      <c r="F474">
        <v>200</v>
      </c>
      <c r="G474">
        <v>4.5999999999999996</v>
      </c>
      <c r="H474">
        <v>5</v>
      </c>
    </row>
    <row r="475" spans="1:8" x14ac:dyDescent="0.25">
      <c r="A475" t="s">
        <v>497</v>
      </c>
      <c r="B475" t="s">
        <v>12</v>
      </c>
      <c r="C475">
        <v>154</v>
      </c>
      <c r="D475" t="s">
        <v>11</v>
      </c>
      <c r="E475" s="23">
        <v>45061</v>
      </c>
      <c r="F475">
        <v>84</v>
      </c>
      <c r="G475">
        <v>4.3</v>
      </c>
      <c r="H475">
        <v>4</v>
      </c>
    </row>
    <row r="476" spans="1:8" x14ac:dyDescent="0.25">
      <c r="A476" t="s">
        <v>498</v>
      </c>
      <c r="B476" t="s">
        <v>5</v>
      </c>
      <c r="C476">
        <v>51</v>
      </c>
      <c r="D476" t="s">
        <v>13</v>
      </c>
      <c r="E476" s="23">
        <v>45062</v>
      </c>
      <c r="F476">
        <v>117</v>
      </c>
      <c r="G476">
        <v>2.7</v>
      </c>
      <c r="H476">
        <v>3</v>
      </c>
    </row>
    <row r="477" spans="1:8" x14ac:dyDescent="0.25">
      <c r="A477" t="s">
        <v>499</v>
      </c>
      <c r="B477" t="s">
        <v>7</v>
      </c>
      <c r="C477">
        <v>21</v>
      </c>
      <c r="D477" t="s">
        <v>9</v>
      </c>
      <c r="E477" s="23">
        <v>45062</v>
      </c>
      <c r="F477">
        <v>63</v>
      </c>
      <c r="G477">
        <v>4.2</v>
      </c>
      <c r="H477">
        <v>4</v>
      </c>
    </row>
    <row r="478" spans="1:8" x14ac:dyDescent="0.25">
      <c r="A478" t="s">
        <v>500</v>
      </c>
      <c r="B478" t="s">
        <v>23</v>
      </c>
      <c r="C478">
        <v>80</v>
      </c>
      <c r="D478" t="s">
        <v>13</v>
      </c>
      <c r="E478" s="23">
        <v>45063</v>
      </c>
      <c r="F478">
        <v>145</v>
      </c>
      <c r="G478">
        <v>4.9000000000000004</v>
      </c>
      <c r="H478">
        <v>5</v>
      </c>
    </row>
    <row r="479" spans="1:8" x14ac:dyDescent="0.25">
      <c r="A479" t="s">
        <v>501</v>
      </c>
      <c r="B479" t="s">
        <v>5</v>
      </c>
      <c r="C479">
        <v>139</v>
      </c>
      <c r="D479" t="s">
        <v>11</v>
      </c>
      <c r="E479" s="23">
        <v>45063</v>
      </c>
      <c r="F479">
        <v>220</v>
      </c>
      <c r="G479">
        <v>3.2</v>
      </c>
      <c r="H479">
        <v>3</v>
      </c>
    </row>
    <row r="480" spans="1:8" x14ac:dyDescent="0.25">
      <c r="A480" t="s">
        <v>502</v>
      </c>
      <c r="B480" t="s">
        <v>24</v>
      </c>
      <c r="C480">
        <v>50</v>
      </c>
      <c r="D480" t="s">
        <v>9</v>
      </c>
      <c r="E480" s="23">
        <v>45063</v>
      </c>
      <c r="F480">
        <v>26</v>
      </c>
      <c r="G480">
        <v>4.7</v>
      </c>
      <c r="H480">
        <v>5</v>
      </c>
    </row>
    <row r="481" spans="1:8" x14ac:dyDescent="0.25">
      <c r="A481" t="s">
        <v>503</v>
      </c>
      <c r="B481" t="s">
        <v>23</v>
      </c>
      <c r="C481">
        <v>88</v>
      </c>
      <c r="D481" t="s">
        <v>13</v>
      </c>
      <c r="E481" s="23">
        <v>45063</v>
      </c>
      <c r="F481">
        <v>78</v>
      </c>
      <c r="G481">
        <v>4.3</v>
      </c>
      <c r="H481">
        <v>4</v>
      </c>
    </row>
    <row r="482" spans="1:8" x14ac:dyDescent="0.25">
      <c r="A482" t="s">
        <v>504</v>
      </c>
      <c r="B482" t="s">
        <v>18</v>
      </c>
      <c r="C482">
        <v>19</v>
      </c>
      <c r="D482" t="s">
        <v>6</v>
      </c>
      <c r="E482" s="23">
        <v>45064</v>
      </c>
      <c r="F482">
        <v>132</v>
      </c>
      <c r="G482">
        <v>4.3</v>
      </c>
      <c r="H482">
        <v>4</v>
      </c>
    </row>
    <row r="483" spans="1:8" x14ac:dyDescent="0.25">
      <c r="A483" t="s">
        <v>505</v>
      </c>
      <c r="B483" t="s">
        <v>22</v>
      </c>
      <c r="C483">
        <v>104</v>
      </c>
      <c r="D483" t="s">
        <v>6</v>
      </c>
      <c r="E483" s="23">
        <v>45065</v>
      </c>
      <c r="F483">
        <v>68</v>
      </c>
      <c r="G483">
        <v>3.7</v>
      </c>
      <c r="H483">
        <v>4</v>
      </c>
    </row>
    <row r="484" spans="1:8" x14ac:dyDescent="0.25">
      <c r="A484" t="s">
        <v>506</v>
      </c>
      <c r="B484" t="s">
        <v>12</v>
      </c>
      <c r="C484">
        <v>67</v>
      </c>
      <c r="D484" t="s">
        <v>11</v>
      </c>
      <c r="E484" s="23">
        <v>45067</v>
      </c>
      <c r="F484">
        <v>129</v>
      </c>
      <c r="G484">
        <v>4.7</v>
      </c>
      <c r="H484">
        <v>5</v>
      </c>
    </row>
    <row r="485" spans="1:8" x14ac:dyDescent="0.25">
      <c r="A485" t="s">
        <v>507</v>
      </c>
      <c r="B485" t="s">
        <v>16</v>
      </c>
      <c r="C485">
        <v>107</v>
      </c>
      <c r="D485" t="s">
        <v>6</v>
      </c>
      <c r="E485" s="23">
        <v>45067</v>
      </c>
      <c r="F485">
        <v>115</v>
      </c>
      <c r="G485">
        <v>4.9000000000000004</v>
      </c>
      <c r="H485">
        <v>5</v>
      </c>
    </row>
    <row r="486" spans="1:8" x14ac:dyDescent="0.25">
      <c r="A486" t="s">
        <v>508</v>
      </c>
      <c r="B486" t="s">
        <v>16</v>
      </c>
      <c r="C486">
        <v>93</v>
      </c>
      <c r="D486" t="s">
        <v>6</v>
      </c>
      <c r="E486" s="23">
        <v>45067</v>
      </c>
      <c r="F486">
        <v>128</v>
      </c>
      <c r="G486">
        <v>3.9</v>
      </c>
      <c r="H486">
        <v>4</v>
      </c>
    </row>
    <row r="487" spans="1:8" x14ac:dyDescent="0.25">
      <c r="A487" t="s">
        <v>509</v>
      </c>
      <c r="B487" t="s">
        <v>16</v>
      </c>
      <c r="C487">
        <v>117</v>
      </c>
      <c r="D487" t="s">
        <v>11</v>
      </c>
      <c r="E487" s="23">
        <v>45067</v>
      </c>
      <c r="F487">
        <v>90</v>
      </c>
      <c r="G487">
        <v>4.5</v>
      </c>
      <c r="H487">
        <v>5</v>
      </c>
    </row>
    <row r="488" spans="1:8" x14ac:dyDescent="0.25">
      <c r="A488" t="s">
        <v>510</v>
      </c>
      <c r="B488" t="s">
        <v>24</v>
      </c>
      <c r="C488">
        <v>76</v>
      </c>
      <c r="D488" t="s">
        <v>13</v>
      </c>
      <c r="E488" s="23">
        <v>45068</v>
      </c>
      <c r="F488">
        <v>39</v>
      </c>
      <c r="G488">
        <v>4.5999999999999996</v>
      </c>
      <c r="H488">
        <v>5</v>
      </c>
    </row>
    <row r="489" spans="1:8" x14ac:dyDescent="0.25">
      <c r="A489" t="s">
        <v>511</v>
      </c>
      <c r="B489" t="s">
        <v>18</v>
      </c>
      <c r="C489">
        <v>64</v>
      </c>
      <c r="D489" t="s">
        <v>6</v>
      </c>
      <c r="E489" s="23">
        <v>45068</v>
      </c>
      <c r="F489">
        <v>132</v>
      </c>
      <c r="G489">
        <v>3.3</v>
      </c>
      <c r="H489">
        <v>3</v>
      </c>
    </row>
    <row r="490" spans="1:8" x14ac:dyDescent="0.25">
      <c r="A490" t="s">
        <v>512</v>
      </c>
      <c r="B490" t="s">
        <v>8</v>
      </c>
      <c r="C490">
        <v>33</v>
      </c>
      <c r="D490" t="s">
        <v>6</v>
      </c>
      <c r="E490" s="23">
        <v>45068</v>
      </c>
      <c r="F490">
        <v>170</v>
      </c>
      <c r="G490">
        <v>3.8</v>
      </c>
      <c r="H490">
        <v>4</v>
      </c>
    </row>
    <row r="491" spans="1:8" x14ac:dyDescent="0.25">
      <c r="A491" t="s">
        <v>513</v>
      </c>
      <c r="B491" t="s">
        <v>16</v>
      </c>
      <c r="C491">
        <v>115</v>
      </c>
      <c r="D491" t="s">
        <v>11</v>
      </c>
      <c r="E491" s="23">
        <v>45068</v>
      </c>
      <c r="F491">
        <v>42</v>
      </c>
      <c r="G491">
        <v>4.7</v>
      </c>
      <c r="H491">
        <v>5</v>
      </c>
    </row>
    <row r="492" spans="1:8" x14ac:dyDescent="0.25">
      <c r="A492" t="s">
        <v>514</v>
      </c>
      <c r="B492" t="s">
        <v>21</v>
      </c>
      <c r="C492">
        <v>155</v>
      </c>
      <c r="D492" t="s">
        <v>13</v>
      </c>
      <c r="E492" s="23">
        <v>45069</v>
      </c>
      <c r="F492">
        <v>37</v>
      </c>
      <c r="G492">
        <v>4</v>
      </c>
      <c r="H492">
        <v>4</v>
      </c>
    </row>
    <row r="493" spans="1:8" x14ac:dyDescent="0.25">
      <c r="A493" t="s">
        <v>515</v>
      </c>
      <c r="B493" t="s">
        <v>12</v>
      </c>
      <c r="C493">
        <v>117</v>
      </c>
      <c r="D493" t="s">
        <v>13</v>
      </c>
      <c r="E493" s="23">
        <v>45069</v>
      </c>
      <c r="F493">
        <v>88</v>
      </c>
      <c r="G493">
        <v>4.7</v>
      </c>
      <c r="H493">
        <v>5</v>
      </c>
    </row>
    <row r="494" spans="1:8" x14ac:dyDescent="0.25">
      <c r="A494" t="s">
        <v>516</v>
      </c>
      <c r="B494" t="s">
        <v>5</v>
      </c>
      <c r="C494">
        <v>63</v>
      </c>
      <c r="D494" t="s">
        <v>13</v>
      </c>
      <c r="E494" s="23">
        <v>45069</v>
      </c>
      <c r="F494">
        <v>80</v>
      </c>
      <c r="G494">
        <v>2.5</v>
      </c>
      <c r="H494">
        <v>3</v>
      </c>
    </row>
    <row r="495" spans="1:8" x14ac:dyDescent="0.25">
      <c r="A495" t="s">
        <v>517</v>
      </c>
      <c r="B495" t="s">
        <v>18</v>
      </c>
      <c r="C495">
        <v>59</v>
      </c>
      <c r="D495" t="s">
        <v>10</v>
      </c>
      <c r="E495" s="23">
        <v>45070</v>
      </c>
      <c r="F495">
        <v>123</v>
      </c>
      <c r="G495">
        <v>3.6</v>
      </c>
      <c r="H495">
        <v>4</v>
      </c>
    </row>
    <row r="496" spans="1:8" x14ac:dyDescent="0.25">
      <c r="A496" t="s">
        <v>518</v>
      </c>
      <c r="B496" t="s">
        <v>7</v>
      </c>
      <c r="C496">
        <v>133</v>
      </c>
      <c r="D496" t="s">
        <v>6</v>
      </c>
      <c r="E496" s="23">
        <v>45070</v>
      </c>
      <c r="F496">
        <v>31</v>
      </c>
      <c r="G496">
        <v>3.7</v>
      </c>
      <c r="H496">
        <v>4</v>
      </c>
    </row>
    <row r="497" spans="1:8" x14ac:dyDescent="0.25">
      <c r="A497" t="s">
        <v>519</v>
      </c>
      <c r="B497" t="s">
        <v>17</v>
      </c>
      <c r="C497">
        <v>101</v>
      </c>
      <c r="D497" t="s">
        <v>9</v>
      </c>
      <c r="E497" s="23">
        <v>45070</v>
      </c>
      <c r="F497">
        <v>205</v>
      </c>
      <c r="G497">
        <v>3.9</v>
      </c>
      <c r="H497">
        <v>4</v>
      </c>
    </row>
    <row r="498" spans="1:8" x14ac:dyDescent="0.25">
      <c r="A498" t="s">
        <v>520</v>
      </c>
      <c r="B498" t="s">
        <v>14</v>
      </c>
      <c r="C498">
        <v>151</v>
      </c>
      <c r="D498" t="s">
        <v>13</v>
      </c>
      <c r="E498" s="23">
        <v>45071</v>
      </c>
      <c r="F498">
        <v>123</v>
      </c>
      <c r="G498">
        <v>3.7</v>
      </c>
      <c r="H498">
        <v>4</v>
      </c>
    </row>
    <row r="499" spans="1:8" x14ac:dyDescent="0.25">
      <c r="A499" t="s">
        <v>521</v>
      </c>
      <c r="B499" t="s">
        <v>8</v>
      </c>
      <c r="C499">
        <v>146</v>
      </c>
      <c r="D499" t="s">
        <v>6</v>
      </c>
      <c r="E499" s="23">
        <v>45071</v>
      </c>
      <c r="F499">
        <v>123</v>
      </c>
      <c r="G499">
        <v>4.3</v>
      </c>
      <c r="H499">
        <v>4</v>
      </c>
    </row>
    <row r="500" spans="1:8" x14ac:dyDescent="0.25">
      <c r="A500" t="s">
        <v>522</v>
      </c>
      <c r="B500" t="s">
        <v>5</v>
      </c>
      <c r="C500">
        <v>148</v>
      </c>
      <c r="D500" t="s">
        <v>6</v>
      </c>
      <c r="E500" s="23">
        <v>45071</v>
      </c>
      <c r="F500">
        <v>36</v>
      </c>
      <c r="G500">
        <v>2.9</v>
      </c>
      <c r="H500">
        <v>3</v>
      </c>
    </row>
    <row r="501" spans="1:8" x14ac:dyDescent="0.25">
      <c r="A501" t="s">
        <v>523</v>
      </c>
      <c r="B501" t="s">
        <v>14</v>
      </c>
      <c r="C501">
        <v>81</v>
      </c>
      <c r="D501" t="s">
        <v>6</v>
      </c>
      <c r="E501" s="23">
        <v>45071</v>
      </c>
      <c r="F501">
        <v>116</v>
      </c>
      <c r="G501">
        <v>4.3</v>
      </c>
      <c r="H501">
        <v>4</v>
      </c>
    </row>
    <row r="502" spans="1:8" x14ac:dyDescent="0.25">
      <c r="A502" t="s">
        <v>524</v>
      </c>
      <c r="B502" t="s">
        <v>22</v>
      </c>
      <c r="C502">
        <v>115</v>
      </c>
      <c r="D502" t="s">
        <v>6</v>
      </c>
      <c r="E502" s="23">
        <v>45071</v>
      </c>
      <c r="F502">
        <v>40</v>
      </c>
      <c r="G502">
        <v>4.9000000000000004</v>
      </c>
      <c r="H502">
        <v>5</v>
      </c>
    </row>
    <row r="503" spans="1:8" x14ac:dyDescent="0.25">
      <c r="A503" t="s">
        <v>525</v>
      </c>
      <c r="B503" t="s">
        <v>22</v>
      </c>
      <c r="C503">
        <v>117</v>
      </c>
      <c r="D503" t="s">
        <v>13</v>
      </c>
      <c r="E503" s="23">
        <v>45071</v>
      </c>
      <c r="F503">
        <v>40</v>
      </c>
      <c r="G503">
        <v>4</v>
      </c>
      <c r="H503">
        <v>4</v>
      </c>
    </row>
    <row r="504" spans="1:8" x14ac:dyDescent="0.25">
      <c r="A504" t="s">
        <v>526</v>
      </c>
      <c r="B504" t="s">
        <v>17</v>
      </c>
      <c r="C504">
        <v>110</v>
      </c>
      <c r="D504" t="s">
        <v>11</v>
      </c>
      <c r="E504" s="23">
        <v>45072</v>
      </c>
      <c r="F504">
        <v>82</v>
      </c>
      <c r="G504">
        <v>4</v>
      </c>
      <c r="H504">
        <v>4</v>
      </c>
    </row>
    <row r="505" spans="1:8" x14ac:dyDescent="0.25">
      <c r="A505" t="s">
        <v>527</v>
      </c>
      <c r="B505" t="s">
        <v>24</v>
      </c>
      <c r="C505">
        <v>103</v>
      </c>
      <c r="D505" t="s">
        <v>10</v>
      </c>
      <c r="E505" s="23">
        <v>45072</v>
      </c>
      <c r="F505">
        <v>62</v>
      </c>
      <c r="G505">
        <v>3.4</v>
      </c>
      <c r="H505">
        <v>3</v>
      </c>
    </row>
    <row r="506" spans="1:8" x14ac:dyDescent="0.25">
      <c r="A506" t="s">
        <v>528</v>
      </c>
      <c r="B506" t="s">
        <v>21</v>
      </c>
      <c r="C506">
        <v>45</v>
      </c>
      <c r="D506" t="s">
        <v>10</v>
      </c>
      <c r="E506" s="23">
        <v>45072</v>
      </c>
      <c r="F506">
        <v>135</v>
      </c>
      <c r="G506">
        <v>3.9</v>
      </c>
      <c r="H506">
        <v>4</v>
      </c>
    </row>
    <row r="507" spans="1:8" x14ac:dyDescent="0.25">
      <c r="A507" t="s">
        <v>529</v>
      </c>
      <c r="B507" t="s">
        <v>17</v>
      </c>
      <c r="C507">
        <v>110</v>
      </c>
      <c r="D507" t="s">
        <v>9</v>
      </c>
      <c r="E507" s="23">
        <v>45072</v>
      </c>
      <c r="F507">
        <v>155</v>
      </c>
      <c r="G507">
        <v>2.1</v>
      </c>
      <c r="H507">
        <v>2</v>
      </c>
    </row>
    <row r="508" spans="1:8" x14ac:dyDescent="0.25">
      <c r="A508" t="s">
        <v>530</v>
      </c>
      <c r="B508" t="s">
        <v>18</v>
      </c>
      <c r="C508">
        <v>43</v>
      </c>
      <c r="D508" t="s">
        <v>11</v>
      </c>
      <c r="E508" s="23">
        <v>45072</v>
      </c>
      <c r="F508">
        <v>37</v>
      </c>
      <c r="G508">
        <v>4.9000000000000004</v>
      </c>
      <c r="H508">
        <v>5</v>
      </c>
    </row>
    <row r="509" spans="1:8" x14ac:dyDescent="0.25">
      <c r="A509" t="s">
        <v>531</v>
      </c>
      <c r="B509" t="s">
        <v>17</v>
      </c>
      <c r="C509">
        <v>104</v>
      </c>
      <c r="D509" t="s">
        <v>13</v>
      </c>
      <c r="E509" s="23">
        <v>45073</v>
      </c>
      <c r="F509">
        <v>56</v>
      </c>
      <c r="G509">
        <v>3.4</v>
      </c>
      <c r="H509">
        <v>3</v>
      </c>
    </row>
    <row r="510" spans="1:8" x14ac:dyDescent="0.25">
      <c r="A510" t="s">
        <v>532</v>
      </c>
      <c r="B510" t="s">
        <v>17</v>
      </c>
      <c r="C510">
        <v>101</v>
      </c>
      <c r="D510" t="s">
        <v>13</v>
      </c>
      <c r="E510" s="23">
        <v>45073</v>
      </c>
      <c r="F510">
        <v>185</v>
      </c>
      <c r="G510">
        <v>5</v>
      </c>
      <c r="H510">
        <v>5</v>
      </c>
    </row>
    <row r="511" spans="1:8" x14ac:dyDescent="0.25">
      <c r="A511" t="s">
        <v>533</v>
      </c>
      <c r="B511" t="s">
        <v>20</v>
      </c>
      <c r="C511">
        <v>55</v>
      </c>
      <c r="D511" t="s">
        <v>11</v>
      </c>
      <c r="E511" s="23">
        <v>45074</v>
      </c>
      <c r="F511">
        <v>145</v>
      </c>
      <c r="G511">
        <v>4.5</v>
      </c>
      <c r="H511">
        <v>5</v>
      </c>
    </row>
    <row r="512" spans="1:8" x14ac:dyDescent="0.25">
      <c r="A512" t="s">
        <v>534</v>
      </c>
      <c r="B512" t="s">
        <v>14</v>
      </c>
      <c r="C512">
        <v>40</v>
      </c>
      <c r="D512" t="s">
        <v>10</v>
      </c>
      <c r="E512" s="23">
        <v>45074</v>
      </c>
      <c r="F512">
        <v>116</v>
      </c>
      <c r="G512">
        <v>2.6</v>
      </c>
      <c r="H512">
        <v>3</v>
      </c>
    </row>
    <row r="513" spans="1:8" x14ac:dyDescent="0.25">
      <c r="A513" t="s">
        <v>535</v>
      </c>
      <c r="B513" t="s">
        <v>18</v>
      </c>
      <c r="C513">
        <v>122</v>
      </c>
      <c r="D513" t="s">
        <v>6</v>
      </c>
      <c r="E513" s="23">
        <v>45074</v>
      </c>
      <c r="F513">
        <v>45</v>
      </c>
      <c r="G513">
        <v>4.2</v>
      </c>
      <c r="H513">
        <v>4</v>
      </c>
    </row>
    <row r="514" spans="1:8" x14ac:dyDescent="0.25">
      <c r="A514" t="s">
        <v>536</v>
      </c>
      <c r="B514" t="s">
        <v>8</v>
      </c>
      <c r="C514">
        <v>98</v>
      </c>
      <c r="D514" t="s">
        <v>13</v>
      </c>
      <c r="E514" s="23">
        <v>45075</v>
      </c>
      <c r="F514">
        <v>35</v>
      </c>
      <c r="G514">
        <v>4.5</v>
      </c>
      <c r="H514">
        <v>5</v>
      </c>
    </row>
    <row r="515" spans="1:8" x14ac:dyDescent="0.25">
      <c r="A515" t="s">
        <v>537</v>
      </c>
      <c r="B515" t="s">
        <v>22</v>
      </c>
      <c r="C515">
        <v>110</v>
      </c>
      <c r="D515" t="s">
        <v>10</v>
      </c>
      <c r="E515" s="23">
        <v>45075</v>
      </c>
      <c r="F515">
        <v>100</v>
      </c>
      <c r="G515">
        <v>4.4000000000000004</v>
      </c>
      <c r="H515">
        <v>4</v>
      </c>
    </row>
    <row r="516" spans="1:8" x14ac:dyDescent="0.25">
      <c r="A516" t="s">
        <v>538</v>
      </c>
      <c r="B516" t="s">
        <v>22</v>
      </c>
      <c r="C516">
        <v>62</v>
      </c>
      <c r="D516" t="s">
        <v>11</v>
      </c>
      <c r="E516" s="23">
        <v>45076</v>
      </c>
      <c r="F516">
        <v>125</v>
      </c>
      <c r="G516">
        <v>3.5</v>
      </c>
      <c r="H516">
        <v>4</v>
      </c>
    </row>
    <row r="517" spans="1:8" x14ac:dyDescent="0.25">
      <c r="A517" t="s">
        <v>539</v>
      </c>
      <c r="B517" t="s">
        <v>18</v>
      </c>
      <c r="C517">
        <v>134</v>
      </c>
      <c r="D517" t="s">
        <v>6</v>
      </c>
      <c r="E517" s="23">
        <v>45076</v>
      </c>
      <c r="F517">
        <v>120</v>
      </c>
      <c r="G517">
        <v>3</v>
      </c>
      <c r="H517">
        <v>3</v>
      </c>
    </row>
    <row r="518" spans="1:8" x14ac:dyDescent="0.25">
      <c r="A518" t="s">
        <v>540</v>
      </c>
      <c r="B518" t="s">
        <v>19</v>
      </c>
      <c r="C518">
        <v>94</v>
      </c>
      <c r="D518" t="s">
        <v>9</v>
      </c>
      <c r="E518" s="23">
        <v>45076</v>
      </c>
      <c r="F518">
        <v>180</v>
      </c>
      <c r="G518">
        <v>4.7</v>
      </c>
      <c r="H518">
        <v>5</v>
      </c>
    </row>
    <row r="519" spans="1:8" x14ac:dyDescent="0.25">
      <c r="A519" t="s">
        <v>541</v>
      </c>
      <c r="B519" t="s">
        <v>15</v>
      </c>
      <c r="C519">
        <v>63</v>
      </c>
      <c r="D519" t="s">
        <v>10</v>
      </c>
      <c r="E519" s="23">
        <v>45076</v>
      </c>
      <c r="F519">
        <v>44</v>
      </c>
      <c r="G519">
        <v>3</v>
      </c>
      <c r="H519">
        <v>3</v>
      </c>
    </row>
    <row r="520" spans="1:8" x14ac:dyDescent="0.25">
      <c r="A520" t="s">
        <v>542</v>
      </c>
      <c r="B520" t="s">
        <v>7</v>
      </c>
      <c r="C520">
        <v>95</v>
      </c>
      <c r="D520" t="s">
        <v>6</v>
      </c>
      <c r="E520" s="23">
        <v>45076</v>
      </c>
      <c r="F520">
        <v>86</v>
      </c>
      <c r="G520">
        <v>3.6</v>
      </c>
      <c r="H520">
        <v>4</v>
      </c>
    </row>
    <row r="521" spans="1:8" x14ac:dyDescent="0.25">
      <c r="A521" t="s">
        <v>543</v>
      </c>
      <c r="B521" t="s">
        <v>18</v>
      </c>
      <c r="C521">
        <v>106</v>
      </c>
      <c r="D521" t="s">
        <v>6</v>
      </c>
      <c r="E521" s="23">
        <v>45077</v>
      </c>
      <c r="F521">
        <v>120</v>
      </c>
      <c r="G521">
        <v>4.0999999999999996</v>
      </c>
      <c r="H521">
        <v>4</v>
      </c>
    </row>
    <row r="522" spans="1:8" x14ac:dyDescent="0.25">
      <c r="A522" t="s">
        <v>544</v>
      </c>
      <c r="B522" t="s">
        <v>21</v>
      </c>
      <c r="C522">
        <v>94</v>
      </c>
      <c r="D522" t="s">
        <v>9</v>
      </c>
      <c r="E522" s="23">
        <v>45077</v>
      </c>
      <c r="F522">
        <v>100</v>
      </c>
      <c r="G522">
        <v>3.7</v>
      </c>
      <c r="H522">
        <v>4</v>
      </c>
    </row>
    <row r="523" spans="1:8" x14ac:dyDescent="0.25">
      <c r="A523" t="s">
        <v>545</v>
      </c>
      <c r="B523" t="s">
        <v>21</v>
      </c>
      <c r="C523">
        <v>51</v>
      </c>
      <c r="D523" t="s">
        <v>9</v>
      </c>
      <c r="E523" s="23">
        <v>45078</v>
      </c>
      <c r="F523">
        <v>108</v>
      </c>
      <c r="G523">
        <v>4.5</v>
      </c>
      <c r="H523">
        <v>5</v>
      </c>
    </row>
    <row r="524" spans="1:8" x14ac:dyDescent="0.25">
      <c r="A524" t="s">
        <v>546</v>
      </c>
      <c r="B524" t="s">
        <v>5</v>
      </c>
      <c r="C524">
        <v>39</v>
      </c>
      <c r="D524" t="s">
        <v>9</v>
      </c>
      <c r="E524" s="23">
        <v>45078</v>
      </c>
      <c r="F524">
        <v>46</v>
      </c>
      <c r="G524">
        <v>4.5999999999999996</v>
      </c>
      <c r="H524">
        <v>5</v>
      </c>
    </row>
    <row r="525" spans="1:8" x14ac:dyDescent="0.25">
      <c r="A525" t="s">
        <v>547</v>
      </c>
      <c r="B525" t="s">
        <v>14</v>
      </c>
      <c r="C525">
        <v>111</v>
      </c>
      <c r="D525" t="s">
        <v>6</v>
      </c>
      <c r="E525" s="23">
        <v>45078</v>
      </c>
      <c r="F525">
        <v>210</v>
      </c>
      <c r="G525">
        <v>4.3</v>
      </c>
      <c r="H525">
        <v>4</v>
      </c>
    </row>
    <row r="526" spans="1:8" x14ac:dyDescent="0.25">
      <c r="A526" t="s">
        <v>548</v>
      </c>
      <c r="B526" t="s">
        <v>16</v>
      </c>
      <c r="C526">
        <v>141</v>
      </c>
      <c r="D526" t="s">
        <v>11</v>
      </c>
      <c r="E526" s="23">
        <v>45080</v>
      </c>
      <c r="F526">
        <v>54</v>
      </c>
      <c r="G526">
        <v>4.8</v>
      </c>
      <c r="H526">
        <v>5</v>
      </c>
    </row>
    <row r="527" spans="1:8" x14ac:dyDescent="0.25">
      <c r="A527" t="s">
        <v>549</v>
      </c>
      <c r="B527" t="s">
        <v>15</v>
      </c>
      <c r="C527">
        <v>147</v>
      </c>
      <c r="D527" t="s">
        <v>6</v>
      </c>
      <c r="E527" s="23">
        <v>45080</v>
      </c>
      <c r="F527">
        <v>115</v>
      </c>
      <c r="G527">
        <v>4.7</v>
      </c>
      <c r="H527">
        <v>5</v>
      </c>
    </row>
    <row r="528" spans="1:8" x14ac:dyDescent="0.25">
      <c r="A528" t="s">
        <v>550</v>
      </c>
      <c r="B528" t="s">
        <v>19</v>
      </c>
      <c r="C528">
        <v>49</v>
      </c>
      <c r="D528" t="s">
        <v>9</v>
      </c>
      <c r="E528" s="23">
        <v>45081</v>
      </c>
      <c r="F528">
        <v>100</v>
      </c>
      <c r="G528">
        <v>2.2000000000000002</v>
      </c>
      <c r="H528">
        <v>2</v>
      </c>
    </row>
    <row r="529" spans="1:8" x14ac:dyDescent="0.25">
      <c r="A529" t="s">
        <v>551</v>
      </c>
      <c r="B529" t="s">
        <v>23</v>
      </c>
      <c r="C529">
        <v>75</v>
      </c>
      <c r="D529" t="s">
        <v>6</v>
      </c>
      <c r="E529" s="23">
        <v>45081</v>
      </c>
      <c r="F529">
        <v>38</v>
      </c>
      <c r="G529">
        <v>4.4000000000000004</v>
      </c>
      <c r="H529">
        <v>4</v>
      </c>
    </row>
    <row r="530" spans="1:8" x14ac:dyDescent="0.25">
      <c r="A530" t="s">
        <v>552</v>
      </c>
      <c r="B530" t="s">
        <v>16</v>
      </c>
      <c r="C530">
        <v>48</v>
      </c>
      <c r="D530" t="s">
        <v>11</v>
      </c>
      <c r="E530" s="23">
        <v>45082</v>
      </c>
      <c r="F530">
        <v>120</v>
      </c>
      <c r="G530">
        <v>4.0999999999999996</v>
      </c>
      <c r="H530">
        <v>4</v>
      </c>
    </row>
    <row r="531" spans="1:8" x14ac:dyDescent="0.25">
      <c r="A531" t="s">
        <v>553</v>
      </c>
      <c r="B531" t="s">
        <v>22</v>
      </c>
      <c r="C531">
        <v>48</v>
      </c>
      <c r="D531" t="s">
        <v>11</v>
      </c>
      <c r="E531" s="23">
        <v>45082</v>
      </c>
      <c r="F531">
        <v>120</v>
      </c>
      <c r="G531">
        <v>4.0999999999999996</v>
      </c>
      <c r="H531">
        <v>4</v>
      </c>
    </row>
    <row r="532" spans="1:8" x14ac:dyDescent="0.25">
      <c r="A532" t="s">
        <v>554</v>
      </c>
      <c r="B532" t="s">
        <v>12</v>
      </c>
      <c r="C532">
        <v>138</v>
      </c>
      <c r="D532" t="s">
        <v>9</v>
      </c>
      <c r="E532" s="23">
        <v>45082</v>
      </c>
      <c r="F532">
        <v>29</v>
      </c>
      <c r="G532">
        <v>4.4000000000000004</v>
      </c>
      <c r="H532">
        <v>4</v>
      </c>
    </row>
    <row r="533" spans="1:8" x14ac:dyDescent="0.25">
      <c r="A533" t="s">
        <v>555</v>
      </c>
      <c r="B533" t="s">
        <v>7</v>
      </c>
      <c r="C533">
        <v>144</v>
      </c>
      <c r="D533" t="s">
        <v>9</v>
      </c>
      <c r="E533" s="23">
        <v>45083</v>
      </c>
      <c r="F533">
        <v>25</v>
      </c>
      <c r="G533">
        <v>3.7</v>
      </c>
      <c r="H533">
        <v>4</v>
      </c>
    </row>
    <row r="534" spans="1:8" x14ac:dyDescent="0.25">
      <c r="A534" t="s">
        <v>556</v>
      </c>
      <c r="B534" t="s">
        <v>17</v>
      </c>
      <c r="C534">
        <v>119</v>
      </c>
      <c r="D534" t="s">
        <v>6</v>
      </c>
      <c r="E534" s="23">
        <v>45084</v>
      </c>
      <c r="F534">
        <v>116</v>
      </c>
      <c r="G534">
        <v>3.8</v>
      </c>
      <c r="H534">
        <v>4</v>
      </c>
    </row>
    <row r="535" spans="1:8" x14ac:dyDescent="0.25">
      <c r="A535" t="s">
        <v>557</v>
      </c>
      <c r="B535" t="s">
        <v>12</v>
      </c>
      <c r="C535">
        <v>101</v>
      </c>
      <c r="D535" t="s">
        <v>11</v>
      </c>
      <c r="E535" s="23">
        <v>45085</v>
      </c>
      <c r="F535">
        <v>132</v>
      </c>
      <c r="G535">
        <v>4.3</v>
      </c>
      <c r="H535">
        <v>4</v>
      </c>
    </row>
    <row r="536" spans="1:8" x14ac:dyDescent="0.25">
      <c r="A536" t="s">
        <v>558</v>
      </c>
      <c r="B536" t="s">
        <v>7</v>
      </c>
      <c r="C536">
        <v>59</v>
      </c>
      <c r="D536" t="s">
        <v>6</v>
      </c>
      <c r="E536" s="23">
        <v>45086</v>
      </c>
      <c r="F536">
        <v>90</v>
      </c>
      <c r="G536">
        <v>3.5</v>
      </c>
      <c r="H536">
        <v>4</v>
      </c>
    </row>
    <row r="537" spans="1:8" x14ac:dyDescent="0.25">
      <c r="A537" t="s">
        <v>559</v>
      </c>
      <c r="B537" t="s">
        <v>14</v>
      </c>
      <c r="C537">
        <v>125</v>
      </c>
      <c r="D537" t="s">
        <v>10</v>
      </c>
      <c r="E537" s="23">
        <v>45086</v>
      </c>
      <c r="F537">
        <v>87</v>
      </c>
      <c r="G537">
        <v>4.0999999999999996</v>
      </c>
      <c r="H537">
        <v>4</v>
      </c>
    </row>
    <row r="538" spans="1:8" x14ac:dyDescent="0.25">
      <c r="A538" t="s">
        <v>560</v>
      </c>
      <c r="B538" t="s">
        <v>18</v>
      </c>
      <c r="C538">
        <v>147</v>
      </c>
      <c r="D538" t="s">
        <v>6</v>
      </c>
      <c r="E538" s="23">
        <v>45086</v>
      </c>
      <c r="F538">
        <v>140</v>
      </c>
      <c r="G538">
        <v>4.2</v>
      </c>
      <c r="H538">
        <v>4</v>
      </c>
    </row>
    <row r="539" spans="1:8" x14ac:dyDescent="0.25">
      <c r="A539" t="s">
        <v>561</v>
      </c>
      <c r="B539" t="s">
        <v>24</v>
      </c>
      <c r="C539">
        <v>76</v>
      </c>
      <c r="D539" t="s">
        <v>6</v>
      </c>
      <c r="E539" s="23">
        <v>45086</v>
      </c>
      <c r="F539">
        <v>164</v>
      </c>
      <c r="G539">
        <v>4.5</v>
      </c>
      <c r="H539">
        <v>5</v>
      </c>
    </row>
    <row r="540" spans="1:8" x14ac:dyDescent="0.25">
      <c r="A540" t="s">
        <v>562</v>
      </c>
      <c r="B540" t="s">
        <v>15</v>
      </c>
      <c r="C540">
        <v>99</v>
      </c>
      <c r="D540" t="s">
        <v>11</v>
      </c>
      <c r="E540" s="23">
        <v>45087</v>
      </c>
      <c r="F540">
        <v>180</v>
      </c>
      <c r="G540">
        <v>3.8</v>
      </c>
      <c r="H540">
        <v>4</v>
      </c>
    </row>
    <row r="541" spans="1:8" x14ac:dyDescent="0.25">
      <c r="A541" t="s">
        <v>563</v>
      </c>
      <c r="B541" t="s">
        <v>5</v>
      </c>
      <c r="C541">
        <v>111</v>
      </c>
      <c r="D541" t="s">
        <v>13</v>
      </c>
      <c r="E541" s="23">
        <v>45088</v>
      </c>
      <c r="F541">
        <v>22</v>
      </c>
      <c r="G541">
        <v>4.0999999999999996</v>
      </c>
      <c r="H541">
        <v>4</v>
      </c>
    </row>
    <row r="542" spans="1:8" x14ac:dyDescent="0.25">
      <c r="A542" t="s">
        <v>564</v>
      </c>
      <c r="B542" t="s">
        <v>8</v>
      </c>
      <c r="C542">
        <v>147</v>
      </c>
      <c r="D542" t="s">
        <v>10</v>
      </c>
      <c r="E542" s="23">
        <v>45088</v>
      </c>
      <c r="F542">
        <v>82</v>
      </c>
      <c r="G542">
        <v>4.4000000000000004</v>
      </c>
      <c r="H542">
        <v>4</v>
      </c>
    </row>
    <row r="543" spans="1:8" x14ac:dyDescent="0.25">
      <c r="A543" t="s">
        <v>565</v>
      </c>
      <c r="B543" t="s">
        <v>20</v>
      </c>
      <c r="C543">
        <v>141</v>
      </c>
      <c r="D543" t="s">
        <v>11</v>
      </c>
      <c r="E543" s="23">
        <v>45088</v>
      </c>
      <c r="F543">
        <v>100</v>
      </c>
      <c r="G543">
        <v>4.5999999999999996</v>
      </c>
      <c r="H543">
        <v>5</v>
      </c>
    </row>
    <row r="544" spans="1:8" x14ac:dyDescent="0.25">
      <c r="A544" t="s">
        <v>566</v>
      </c>
      <c r="B544" t="s">
        <v>24</v>
      </c>
      <c r="C544">
        <v>71</v>
      </c>
      <c r="D544" t="s">
        <v>6</v>
      </c>
      <c r="E544" s="23">
        <v>45089</v>
      </c>
      <c r="F544">
        <v>52</v>
      </c>
      <c r="G544">
        <v>3.4</v>
      </c>
      <c r="H544">
        <v>3</v>
      </c>
    </row>
    <row r="545" spans="1:8" x14ac:dyDescent="0.25">
      <c r="A545" t="s">
        <v>567</v>
      </c>
      <c r="B545" t="s">
        <v>24</v>
      </c>
      <c r="C545">
        <v>121</v>
      </c>
      <c r="D545" t="s">
        <v>10</v>
      </c>
      <c r="E545" s="23">
        <v>45090</v>
      </c>
      <c r="F545">
        <v>84</v>
      </c>
      <c r="G545">
        <v>4.5999999999999996</v>
      </c>
      <c r="H545">
        <v>5</v>
      </c>
    </row>
    <row r="546" spans="1:8" x14ac:dyDescent="0.25">
      <c r="A546" t="s">
        <v>568</v>
      </c>
      <c r="B546" t="s">
        <v>24</v>
      </c>
      <c r="C546">
        <v>60</v>
      </c>
      <c r="D546" t="s">
        <v>10</v>
      </c>
      <c r="E546" s="23">
        <v>45090</v>
      </c>
      <c r="F546">
        <v>37</v>
      </c>
      <c r="G546">
        <v>3.9</v>
      </c>
      <c r="H546">
        <v>4</v>
      </c>
    </row>
    <row r="547" spans="1:8" x14ac:dyDescent="0.25">
      <c r="A547" t="s">
        <v>569</v>
      </c>
      <c r="B547" t="s">
        <v>19</v>
      </c>
      <c r="C547">
        <v>158</v>
      </c>
      <c r="D547" t="s">
        <v>11</v>
      </c>
      <c r="E547" s="23">
        <v>45091</v>
      </c>
      <c r="F547">
        <v>190</v>
      </c>
      <c r="G547">
        <v>4</v>
      </c>
      <c r="H547">
        <v>4</v>
      </c>
    </row>
    <row r="548" spans="1:8" x14ac:dyDescent="0.25">
      <c r="A548" t="s">
        <v>570</v>
      </c>
      <c r="B548" t="s">
        <v>18</v>
      </c>
      <c r="C548">
        <v>159</v>
      </c>
      <c r="D548" t="s">
        <v>9</v>
      </c>
      <c r="E548" s="23">
        <v>45091</v>
      </c>
      <c r="F548">
        <v>66</v>
      </c>
      <c r="G548">
        <v>3.4</v>
      </c>
      <c r="H548">
        <v>3</v>
      </c>
    </row>
    <row r="549" spans="1:8" x14ac:dyDescent="0.25">
      <c r="A549" t="s">
        <v>571</v>
      </c>
      <c r="B549" t="s">
        <v>12</v>
      </c>
      <c r="C549">
        <v>70</v>
      </c>
      <c r="D549" t="s">
        <v>6</v>
      </c>
      <c r="E549" s="23">
        <v>45092</v>
      </c>
      <c r="F549">
        <v>116</v>
      </c>
      <c r="G549">
        <v>3.2</v>
      </c>
      <c r="H549">
        <v>3</v>
      </c>
    </row>
    <row r="550" spans="1:8" x14ac:dyDescent="0.25">
      <c r="A550" t="s">
        <v>572</v>
      </c>
      <c r="B550" t="s">
        <v>16</v>
      </c>
      <c r="C550">
        <v>78</v>
      </c>
      <c r="D550" t="s">
        <v>13</v>
      </c>
      <c r="E550" s="23">
        <v>45092</v>
      </c>
      <c r="F550">
        <v>28</v>
      </c>
      <c r="G550">
        <v>3.9</v>
      </c>
      <c r="H550">
        <v>4</v>
      </c>
    </row>
    <row r="551" spans="1:8" x14ac:dyDescent="0.25">
      <c r="A551" t="s">
        <v>573</v>
      </c>
      <c r="B551" t="s">
        <v>8</v>
      </c>
      <c r="C551">
        <v>103</v>
      </c>
      <c r="D551" t="s">
        <v>6</v>
      </c>
      <c r="E551" s="23">
        <v>45092</v>
      </c>
      <c r="F551">
        <v>120</v>
      </c>
      <c r="G551">
        <v>5</v>
      </c>
      <c r="H551">
        <v>5</v>
      </c>
    </row>
    <row r="552" spans="1:8" x14ac:dyDescent="0.25">
      <c r="A552" t="s">
        <v>574</v>
      </c>
      <c r="B552" t="s">
        <v>23</v>
      </c>
      <c r="C552">
        <v>108</v>
      </c>
      <c r="D552" t="s">
        <v>11</v>
      </c>
      <c r="E552" s="23">
        <v>45092</v>
      </c>
      <c r="F552">
        <v>56</v>
      </c>
      <c r="G552">
        <v>3.5</v>
      </c>
      <c r="H552">
        <v>4</v>
      </c>
    </row>
    <row r="553" spans="1:8" x14ac:dyDescent="0.25">
      <c r="A553" t="s">
        <v>575</v>
      </c>
      <c r="B553" t="s">
        <v>23</v>
      </c>
      <c r="C553">
        <v>44</v>
      </c>
      <c r="D553" t="s">
        <v>10</v>
      </c>
      <c r="E553" s="23">
        <v>45092</v>
      </c>
      <c r="F553">
        <v>170</v>
      </c>
      <c r="G553">
        <v>3.8</v>
      </c>
      <c r="H553">
        <v>4</v>
      </c>
    </row>
    <row r="554" spans="1:8" x14ac:dyDescent="0.25">
      <c r="A554" t="s">
        <v>576</v>
      </c>
      <c r="B554" t="s">
        <v>16</v>
      </c>
      <c r="C554">
        <v>127</v>
      </c>
      <c r="D554" t="s">
        <v>11</v>
      </c>
      <c r="E554" s="23">
        <v>45093</v>
      </c>
      <c r="F554">
        <v>200</v>
      </c>
      <c r="G554">
        <v>4.8</v>
      </c>
      <c r="H554">
        <v>5</v>
      </c>
    </row>
    <row r="555" spans="1:8" x14ac:dyDescent="0.25">
      <c r="A555" t="s">
        <v>577</v>
      </c>
      <c r="B555" t="s">
        <v>8</v>
      </c>
      <c r="C555">
        <v>132</v>
      </c>
      <c r="D555" t="s">
        <v>6</v>
      </c>
      <c r="E555" s="23">
        <v>45094</v>
      </c>
      <c r="F555">
        <v>50</v>
      </c>
      <c r="G555">
        <v>4.2</v>
      </c>
      <c r="H555">
        <v>4</v>
      </c>
    </row>
    <row r="556" spans="1:8" x14ac:dyDescent="0.25">
      <c r="A556" t="s">
        <v>578</v>
      </c>
      <c r="B556" t="s">
        <v>20</v>
      </c>
      <c r="C556">
        <v>106</v>
      </c>
      <c r="D556" t="s">
        <v>13</v>
      </c>
      <c r="E556" s="23">
        <v>45094</v>
      </c>
      <c r="F556">
        <v>112</v>
      </c>
      <c r="G556">
        <v>3.7</v>
      </c>
      <c r="H556">
        <v>4</v>
      </c>
    </row>
    <row r="557" spans="1:8" x14ac:dyDescent="0.25">
      <c r="A557" t="s">
        <v>579</v>
      </c>
      <c r="B557" t="s">
        <v>5</v>
      </c>
      <c r="C557">
        <v>107</v>
      </c>
      <c r="D557" t="s">
        <v>6</v>
      </c>
      <c r="E557" s="23">
        <v>45095</v>
      </c>
      <c r="F557">
        <v>39</v>
      </c>
      <c r="G557">
        <v>4.8</v>
      </c>
      <c r="H557">
        <v>5</v>
      </c>
    </row>
    <row r="558" spans="1:8" x14ac:dyDescent="0.25">
      <c r="A558" t="s">
        <v>580</v>
      </c>
      <c r="B558" t="s">
        <v>18</v>
      </c>
      <c r="C558">
        <v>85</v>
      </c>
      <c r="D558" t="s">
        <v>13</v>
      </c>
      <c r="E558" s="23">
        <v>45095</v>
      </c>
      <c r="F558">
        <v>38</v>
      </c>
      <c r="G558">
        <v>4.8</v>
      </c>
      <c r="H558">
        <v>5</v>
      </c>
    </row>
    <row r="559" spans="1:8" x14ac:dyDescent="0.25">
      <c r="A559" t="s">
        <v>581</v>
      </c>
      <c r="B559" t="s">
        <v>15</v>
      </c>
      <c r="C559">
        <v>49</v>
      </c>
      <c r="D559" t="s">
        <v>6</v>
      </c>
      <c r="E559" s="23">
        <v>45096</v>
      </c>
      <c r="F559">
        <v>84</v>
      </c>
      <c r="G559">
        <v>2.9</v>
      </c>
      <c r="H559">
        <v>3</v>
      </c>
    </row>
    <row r="560" spans="1:8" x14ac:dyDescent="0.25">
      <c r="A560" t="s">
        <v>582</v>
      </c>
      <c r="B560" t="s">
        <v>24</v>
      </c>
      <c r="C560">
        <v>117</v>
      </c>
      <c r="D560" t="s">
        <v>11</v>
      </c>
      <c r="E560" s="23">
        <v>45097</v>
      </c>
      <c r="F560">
        <v>82</v>
      </c>
      <c r="G560">
        <v>3.5</v>
      </c>
      <c r="H560">
        <v>4</v>
      </c>
    </row>
    <row r="561" spans="1:8" x14ac:dyDescent="0.25">
      <c r="A561" t="s">
        <v>583</v>
      </c>
      <c r="B561" t="s">
        <v>5</v>
      </c>
      <c r="C561">
        <v>136</v>
      </c>
      <c r="D561" t="s">
        <v>13</v>
      </c>
      <c r="E561" s="23">
        <v>45097</v>
      </c>
      <c r="F561">
        <v>37</v>
      </c>
      <c r="G561">
        <v>0.9</v>
      </c>
      <c r="H561">
        <v>1</v>
      </c>
    </row>
    <row r="562" spans="1:8" x14ac:dyDescent="0.25">
      <c r="A562" t="s">
        <v>584</v>
      </c>
      <c r="B562" t="s">
        <v>23</v>
      </c>
      <c r="C562">
        <v>130</v>
      </c>
      <c r="D562" t="s">
        <v>9</v>
      </c>
      <c r="E562" s="23">
        <v>45098</v>
      </c>
      <c r="F562">
        <v>87</v>
      </c>
      <c r="G562">
        <v>3.4</v>
      </c>
      <c r="H562">
        <v>3</v>
      </c>
    </row>
    <row r="563" spans="1:8" x14ac:dyDescent="0.25">
      <c r="A563" t="s">
        <v>585</v>
      </c>
      <c r="B563" t="s">
        <v>23</v>
      </c>
      <c r="C563">
        <v>73</v>
      </c>
      <c r="D563" t="s">
        <v>9</v>
      </c>
      <c r="E563" s="23">
        <v>45098</v>
      </c>
      <c r="F563">
        <v>75</v>
      </c>
      <c r="G563">
        <v>2.7</v>
      </c>
      <c r="H563">
        <v>3</v>
      </c>
    </row>
    <row r="564" spans="1:8" x14ac:dyDescent="0.25">
      <c r="A564" t="s">
        <v>586</v>
      </c>
      <c r="B564" t="s">
        <v>15</v>
      </c>
      <c r="C564">
        <v>80</v>
      </c>
      <c r="D564" t="s">
        <v>6</v>
      </c>
      <c r="E564" s="23">
        <v>45098</v>
      </c>
      <c r="F564">
        <v>32</v>
      </c>
      <c r="G564">
        <v>4.7</v>
      </c>
      <c r="H564">
        <v>5</v>
      </c>
    </row>
    <row r="565" spans="1:8" x14ac:dyDescent="0.25">
      <c r="A565" t="s">
        <v>587</v>
      </c>
      <c r="B565" t="s">
        <v>17</v>
      </c>
      <c r="C565">
        <v>44</v>
      </c>
      <c r="D565" t="s">
        <v>11</v>
      </c>
      <c r="E565" s="23">
        <v>45098</v>
      </c>
      <c r="F565">
        <v>33</v>
      </c>
      <c r="G565">
        <v>3</v>
      </c>
      <c r="H565">
        <v>3</v>
      </c>
    </row>
    <row r="566" spans="1:8" x14ac:dyDescent="0.25">
      <c r="A566" t="s">
        <v>588</v>
      </c>
      <c r="B566" t="s">
        <v>17</v>
      </c>
      <c r="C566">
        <v>102</v>
      </c>
      <c r="D566" t="s">
        <v>10</v>
      </c>
      <c r="E566" s="23">
        <v>45098</v>
      </c>
      <c r="F566">
        <v>76</v>
      </c>
      <c r="G566">
        <v>4.2</v>
      </c>
      <c r="H566">
        <v>4</v>
      </c>
    </row>
    <row r="567" spans="1:8" x14ac:dyDescent="0.25">
      <c r="A567" t="s">
        <v>589</v>
      </c>
      <c r="B567" t="s">
        <v>19</v>
      </c>
      <c r="C567">
        <v>74</v>
      </c>
      <c r="D567" t="s">
        <v>10</v>
      </c>
      <c r="E567" s="23">
        <v>45098</v>
      </c>
      <c r="F567">
        <v>117</v>
      </c>
      <c r="G567">
        <v>4.8</v>
      </c>
      <c r="H567">
        <v>5</v>
      </c>
    </row>
    <row r="568" spans="1:8" x14ac:dyDescent="0.25">
      <c r="A568" t="s">
        <v>590</v>
      </c>
      <c r="B568" t="s">
        <v>15</v>
      </c>
      <c r="C568">
        <v>52</v>
      </c>
      <c r="D568" t="s">
        <v>11</v>
      </c>
      <c r="E568" s="23">
        <v>45100</v>
      </c>
      <c r="F568">
        <v>70</v>
      </c>
      <c r="G568">
        <v>4.0999999999999996</v>
      </c>
      <c r="H568">
        <v>4</v>
      </c>
    </row>
    <row r="569" spans="1:8" x14ac:dyDescent="0.25">
      <c r="A569" t="s">
        <v>591</v>
      </c>
      <c r="B569" t="s">
        <v>15</v>
      </c>
      <c r="C569">
        <v>74</v>
      </c>
      <c r="D569" t="s">
        <v>9</v>
      </c>
      <c r="E569" s="23">
        <v>45100</v>
      </c>
      <c r="F569">
        <v>37</v>
      </c>
      <c r="G569">
        <v>2.7</v>
      </c>
      <c r="H569">
        <v>3</v>
      </c>
    </row>
    <row r="570" spans="1:8" x14ac:dyDescent="0.25">
      <c r="A570" t="s">
        <v>592</v>
      </c>
      <c r="B570" t="s">
        <v>23</v>
      </c>
      <c r="C570">
        <v>96</v>
      </c>
      <c r="D570" t="s">
        <v>10</v>
      </c>
      <c r="E570" s="23">
        <v>45100</v>
      </c>
      <c r="F570">
        <v>46</v>
      </c>
      <c r="G570">
        <v>2.9</v>
      </c>
      <c r="H570">
        <v>3</v>
      </c>
    </row>
    <row r="571" spans="1:8" x14ac:dyDescent="0.25">
      <c r="A571" t="s">
        <v>593</v>
      </c>
      <c r="B571" t="s">
        <v>14</v>
      </c>
      <c r="C571">
        <v>104</v>
      </c>
      <c r="D571" t="s">
        <v>6</v>
      </c>
      <c r="E571" s="23">
        <v>45100</v>
      </c>
      <c r="F571">
        <v>136</v>
      </c>
      <c r="G571">
        <v>5</v>
      </c>
      <c r="H571">
        <v>5</v>
      </c>
    </row>
    <row r="572" spans="1:8" x14ac:dyDescent="0.25">
      <c r="A572" t="s">
        <v>594</v>
      </c>
      <c r="B572" t="s">
        <v>23</v>
      </c>
      <c r="C572">
        <v>123</v>
      </c>
      <c r="D572" t="s">
        <v>10</v>
      </c>
      <c r="E572" s="23">
        <v>45101</v>
      </c>
      <c r="F572">
        <v>44</v>
      </c>
      <c r="G572">
        <v>4.5999999999999996</v>
      </c>
      <c r="H572">
        <v>5</v>
      </c>
    </row>
    <row r="573" spans="1:8" x14ac:dyDescent="0.25">
      <c r="A573" t="s">
        <v>595</v>
      </c>
      <c r="B573" t="s">
        <v>22</v>
      </c>
      <c r="C573">
        <v>100</v>
      </c>
      <c r="D573" t="s">
        <v>13</v>
      </c>
      <c r="E573" s="23">
        <v>45101</v>
      </c>
      <c r="F573">
        <v>69</v>
      </c>
      <c r="G573">
        <v>3</v>
      </c>
      <c r="H573">
        <v>3</v>
      </c>
    </row>
    <row r="574" spans="1:8" x14ac:dyDescent="0.25">
      <c r="A574" t="s">
        <v>596</v>
      </c>
      <c r="B574" t="s">
        <v>14</v>
      </c>
      <c r="C574">
        <v>35</v>
      </c>
      <c r="D574" t="s">
        <v>11</v>
      </c>
      <c r="E574" s="23">
        <v>45102</v>
      </c>
      <c r="F574">
        <v>86</v>
      </c>
      <c r="G574">
        <v>4.5999999999999996</v>
      </c>
      <c r="H574">
        <v>5</v>
      </c>
    </row>
    <row r="575" spans="1:8" x14ac:dyDescent="0.25">
      <c r="A575" t="s">
        <v>597</v>
      </c>
      <c r="B575" t="s">
        <v>15</v>
      </c>
      <c r="C575">
        <v>123</v>
      </c>
      <c r="D575" t="s">
        <v>6</v>
      </c>
      <c r="E575" s="23">
        <v>45102</v>
      </c>
      <c r="F575">
        <v>68</v>
      </c>
      <c r="G575">
        <v>4.5</v>
      </c>
      <c r="H575">
        <v>5</v>
      </c>
    </row>
    <row r="576" spans="1:8" x14ac:dyDescent="0.25">
      <c r="A576" t="s">
        <v>598</v>
      </c>
      <c r="B576" t="s">
        <v>24</v>
      </c>
      <c r="C576">
        <v>133</v>
      </c>
      <c r="D576" t="s">
        <v>11</v>
      </c>
      <c r="E576" s="23">
        <v>45103</v>
      </c>
      <c r="F576">
        <v>21</v>
      </c>
      <c r="G576">
        <v>3.7</v>
      </c>
      <c r="H576">
        <v>4</v>
      </c>
    </row>
    <row r="577" spans="1:8" x14ac:dyDescent="0.25">
      <c r="A577" t="s">
        <v>599</v>
      </c>
      <c r="B577" t="s">
        <v>23</v>
      </c>
      <c r="C577">
        <v>126</v>
      </c>
      <c r="D577" t="s">
        <v>9</v>
      </c>
      <c r="E577" s="23">
        <v>45103</v>
      </c>
      <c r="F577">
        <v>190</v>
      </c>
      <c r="G577">
        <v>2.4</v>
      </c>
      <c r="H577">
        <v>2</v>
      </c>
    </row>
    <row r="578" spans="1:8" x14ac:dyDescent="0.25">
      <c r="A578" t="s">
        <v>600</v>
      </c>
      <c r="B578" t="s">
        <v>15</v>
      </c>
      <c r="C578">
        <v>39</v>
      </c>
      <c r="D578" t="s">
        <v>10</v>
      </c>
      <c r="E578" s="23">
        <v>45103</v>
      </c>
      <c r="F578">
        <v>176</v>
      </c>
      <c r="G578">
        <v>4.3</v>
      </c>
      <c r="H578">
        <v>4</v>
      </c>
    </row>
    <row r="579" spans="1:8" x14ac:dyDescent="0.25">
      <c r="A579" t="s">
        <v>601</v>
      </c>
      <c r="B579" t="s">
        <v>19</v>
      </c>
      <c r="C579">
        <v>31</v>
      </c>
      <c r="D579" t="s">
        <v>6</v>
      </c>
      <c r="E579" s="23">
        <v>45103</v>
      </c>
      <c r="F579">
        <v>172</v>
      </c>
      <c r="G579">
        <v>3.9</v>
      </c>
      <c r="H579">
        <v>4</v>
      </c>
    </row>
    <row r="580" spans="1:8" x14ac:dyDescent="0.25">
      <c r="A580" t="s">
        <v>602</v>
      </c>
      <c r="B580" t="s">
        <v>8</v>
      </c>
      <c r="C580">
        <v>25</v>
      </c>
      <c r="D580" t="s">
        <v>11</v>
      </c>
      <c r="E580" s="23">
        <v>45103</v>
      </c>
      <c r="F580">
        <v>84</v>
      </c>
      <c r="G580">
        <v>4.5</v>
      </c>
      <c r="H580">
        <v>5</v>
      </c>
    </row>
    <row r="581" spans="1:8" x14ac:dyDescent="0.25">
      <c r="A581" t="s">
        <v>603</v>
      </c>
      <c r="B581" t="s">
        <v>12</v>
      </c>
      <c r="C581">
        <v>132</v>
      </c>
      <c r="D581" t="s">
        <v>13</v>
      </c>
      <c r="E581" s="23">
        <v>45104</v>
      </c>
      <c r="F581">
        <v>42</v>
      </c>
      <c r="G581">
        <v>5</v>
      </c>
      <c r="H581">
        <v>5</v>
      </c>
    </row>
    <row r="582" spans="1:8" x14ac:dyDescent="0.25">
      <c r="A582" t="s">
        <v>604</v>
      </c>
      <c r="B582" t="s">
        <v>14</v>
      </c>
      <c r="C582">
        <v>63</v>
      </c>
      <c r="D582" t="s">
        <v>9</v>
      </c>
      <c r="E582" s="23">
        <v>45104</v>
      </c>
      <c r="F582">
        <v>70</v>
      </c>
      <c r="G582">
        <v>1.6</v>
      </c>
      <c r="H582">
        <v>2</v>
      </c>
    </row>
    <row r="583" spans="1:8" x14ac:dyDescent="0.25">
      <c r="A583" t="s">
        <v>605</v>
      </c>
      <c r="B583" t="s">
        <v>22</v>
      </c>
      <c r="C583">
        <v>135</v>
      </c>
      <c r="D583" t="s">
        <v>13</v>
      </c>
      <c r="E583" s="23">
        <v>45104</v>
      </c>
      <c r="F583">
        <v>60</v>
      </c>
      <c r="G583">
        <v>4.3</v>
      </c>
      <c r="H583">
        <v>4</v>
      </c>
    </row>
    <row r="584" spans="1:8" x14ac:dyDescent="0.25">
      <c r="A584" t="s">
        <v>606</v>
      </c>
      <c r="B584" t="s">
        <v>18</v>
      </c>
      <c r="C584">
        <v>101</v>
      </c>
      <c r="D584" t="s">
        <v>9</v>
      </c>
      <c r="E584" s="23">
        <v>45104</v>
      </c>
      <c r="F584">
        <v>84</v>
      </c>
      <c r="G584">
        <v>3.5</v>
      </c>
      <c r="H584">
        <v>4</v>
      </c>
    </row>
    <row r="585" spans="1:8" x14ac:dyDescent="0.25">
      <c r="A585" t="s">
        <v>607</v>
      </c>
      <c r="B585" t="s">
        <v>24</v>
      </c>
      <c r="C585">
        <v>80</v>
      </c>
      <c r="D585" t="s">
        <v>10</v>
      </c>
      <c r="E585" s="23">
        <v>45105</v>
      </c>
      <c r="F585">
        <v>68</v>
      </c>
      <c r="G585">
        <v>3.1</v>
      </c>
      <c r="H585">
        <v>3</v>
      </c>
    </row>
    <row r="586" spans="1:8" x14ac:dyDescent="0.25">
      <c r="A586" t="s">
        <v>608</v>
      </c>
      <c r="B586" t="s">
        <v>17</v>
      </c>
      <c r="C586">
        <v>28</v>
      </c>
      <c r="D586" t="s">
        <v>10</v>
      </c>
      <c r="E586" s="23">
        <v>45105</v>
      </c>
      <c r="F586">
        <v>44</v>
      </c>
      <c r="G586">
        <v>2.9</v>
      </c>
      <c r="H586">
        <v>3</v>
      </c>
    </row>
    <row r="587" spans="1:8" x14ac:dyDescent="0.25">
      <c r="A587" t="s">
        <v>609</v>
      </c>
      <c r="B587" t="s">
        <v>18</v>
      </c>
      <c r="C587">
        <v>102</v>
      </c>
      <c r="D587" t="s">
        <v>13</v>
      </c>
      <c r="E587" s="23">
        <v>45106</v>
      </c>
      <c r="F587">
        <v>99</v>
      </c>
      <c r="G587">
        <v>3.2</v>
      </c>
      <c r="H587">
        <v>3</v>
      </c>
    </row>
    <row r="588" spans="1:8" x14ac:dyDescent="0.25">
      <c r="A588" t="s">
        <v>610</v>
      </c>
      <c r="B588" t="s">
        <v>14</v>
      </c>
      <c r="C588">
        <v>60</v>
      </c>
      <c r="D588" t="s">
        <v>13</v>
      </c>
      <c r="E588" s="23">
        <v>45107</v>
      </c>
      <c r="F588">
        <v>66</v>
      </c>
      <c r="G588">
        <v>3.2</v>
      </c>
      <c r="H588">
        <v>3</v>
      </c>
    </row>
    <row r="589" spans="1:8" x14ac:dyDescent="0.25">
      <c r="A589" t="s">
        <v>611</v>
      </c>
      <c r="B589" t="s">
        <v>21</v>
      </c>
      <c r="C589">
        <v>103</v>
      </c>
      <c r="D589" t="s">
        <v>13</v>
      </c>
      <c r="E589" s="23">
        <v>45107</v>
      </c>
      <c r="F589">
        <v>102</v>
      </c>
      <c r="G589">
        <v>4.5</v>
      </c>
      <c r="H589">
        <v>5</v>
      </c>
    </row>
    <row r="590" spans="1:8" x14ac:dyDescent="0.25">
      <c r="A590" t="s">
        <v>612</v>
      </c>
      <c r="B590" t="s">
        <v>24</v>
      </c>
      <c r="C590">
        <v>90</v>
      </c>
      <c r="D590" t="s">
        <v>10</v>
      </c>
      <c r="E590" s="23">
        <v>45108</v>
      </c>
      <c r="F590">
        <v>129</v>
      </c>
      <c r="G590">
        <v>3.9</v>
      </c>
      <c r="H590">
        <v>4</v>
      </c>
    </row>
    <row r="591" spans="1:8" x14ac:dyDescent="0.25">
      <c r="A591" t="s">
        <v>613</v>
      </c>
      <c r="B591" t="s">
        <v>16</v>
      </c>
      <c r="C591">
        <v>88</v>
      </c>
      <c r="D591" t="s">
        <v>13</v>
      </c>
      <c r="E591" s="23">
        <v>45108</v>
      </c>
      <c r="F591">
        <v>80</v>
      </c>
      <c r="G591">
        <v>4.2</v>
      </c>
      <c r="H591">
        <v>4</v>
      </c>
    </row>
    <row r="592" spans="1:8" x14ac:dyDescent="0.25">
      <c r="A592" t="s">
        <v>614</v>
      </c>
      <c r="B592" t="s">
        <v>21</v>
      </c>
      <c r="C592">
        <v>37</v>
      </c>
      <c r="D592" t="s">
        <v>13</v>
      </c>
      <c r="E592" s="23">
        <v>45108</v>
      </c>
      <c r="F592">
        <v>54</v>
      </c>
      <c r="G592">
        <v>1.8</v>
      </c>
      <c r="H592">
        <v>2</v>
      </c>
    </row>
    <row r="593" spans="1:8" x14ac:dyDescent="0.25">
      <c r="A593" t="s">
        <v>615</v>
      </c>
      <c r="B593" t="s">
        <v>17</v>
      </c>
      <c r="C593">
        <v>142</v>
      </c>
      <c r="D593" t="s">
        <v>10</v>
      </c>
      <c r="E593" s="23">
        <v>45108</v>
      </c>
      <c r="F593">
        <v>116</v>
      </c>
      <c r="G593">
        <v>4.2</v>
      </c>
      <c r="H593">
        <v>4</v>
      </c>
    </row>
    <row r="594" spans="1:8" x14ac:dyDescent="0.25">
      <c r="A594" t="s">
        <v>616</v>
      </c>
      <c r="B594" t="s">
        <v>17</v>
      </c>
      <c r="C594">
        <v>153</v>
      </c>
      <c r="D594" t="s">
        <v>11</v>
      </c>
      <c r="E594" s="23">
        <v>45108</v>
      </c>
      <c r="F594">
        <v>102</v>
      </c>
      <c r="G594">
        <v>3.1</v>
      </c>
      <c r="H594">
        <v>3</v>
      </c>
    </row>
    <row r="595" spans="1:8" x14ac:dyDescent="0.25">
      <c r="A595" t="s">
        <v>617</v>
      </c>
      <c r="B595" t="s">
        <v>7</v>
      </c>
      <c r="C595">
        <v>128</v>
      </c>
      <c r="D595" t="s">
        <v>9</v>
      </c>
      <c r="E595" s="23">
        <v>45108</v>
      </c>
      <c r="F595">
        <v>140</v>
      </c>
      <c r="G595">
        <v>4.3</v>
      </c>
      <c r="H595">
        <v>4</v>
      </c>
    </row>
    <row r="596" spans="1:8" x14ac:dyDescent="0.25">
      <c r="A596" t="s">
        <v>618</v>
      </c>
      <c r="B596" t="s">
        <v>14</v>
      </c>
      <c r="C596">
        <v>110</v>
      </c>
      <c r="D596" t="s">
        <v>9</v>
      </c>
      <c r="E596" s="23">
        <v>45109</v>
      </c>
      <c r="F596">
        <v>104</v>
      </c>
      <c r="G596">
        <v>4.4000000000000004</v>
      </c>
      <c r="H596">
        <v>4</v>
      </c>
    </row>
    <row r="597" spans="1:8" x14ac:dyDescent="0.25">
      <c r="A597" t="s">
        <v>619</v>
      </c>
      <c r="B597" t="s">
        <v>7</v>
      </c>
      <c r="C597">
        <v>139</v>
      </c>
      <c r="D597" t="s">
        <v>13</v>
      </c>
      <c r="E597" s="23">
        <v>45109</v>
      </c>
      <c r="F597">
        <v>81</v>
      </c>
      <c r="G597">
        <v>4.4000000000000004</v>
      </c>
      <c r="H597">
        <v>4</v>
      </c>
    </row>
    <row r="598" spans="1:8" x14ac:dyDescent="0.25">
      <c r="A598" t="s">
        <v>620</v>
      </c>
      <c r="B598" t="s">
        <v>18</v>
      </c>
      <c r="C598">
        <v>109</v>
      </c>
      <c r="D598" t="s">
        <v>6</v>
      </c>
      <c r="E598" s="23">
        <v>45111</v>
      </c>
      <c r="F598">
        <v>140</v>
      </c>
      <c r="G598">
        <v>2.4</v>
      </c>
      <c r="H598">
        <v>2</v>
      </c>
    </row>
    <row r="599" spans="1:8" x14ac:dyDescent="0.25">
      <c r="A599" t="s">
        <v>621</v>
      </c>
      <c r="B599" t="s">
        <v>12</v>
      </c>
      <c r="C599">
        <v>57</v>
      </c>
      <c r="D599" t="s">
        <v>10</v>
      </c>
      <c r="E599" s="23">
        <v>45112</v>
      </c>
      <c r="F599">
        <v>120</v>
      </c>
      <c r="G599">
        <v>3.5</v>
      </c>
      <c r="H599">
        <v>4</v>
      </c>
    </row>
    <row r="600" spans="1:8" x14ac:dyDescent="0.25">
      <c r="A600" t="s">
        <v>622</v>
      </c>
      <c r="B600" t="s">
        <v>18</v>
      </c>
      <c r="C600">
        <v>68</v>
      </c>
      <c r="D600" t="s">
        <v>13</v>
      </c>
      <c r="E600" s="23">
        <v>45112</v>
      </c>
      <c r="F600">
        <v>41</v>
      </c>
      <c r="G600">
        <v>3.1</v>
      </c>
      <c r="H600">
        <v>3</v>
      </c>
    </row>
    <row r="601" spans="1:8" x14ac:dyDescent="0.25">
      <c r="A601" t="s">
        <v>623</v>
      </c>
      <c r="B601" t="s">
        <v>8</v>
      </c>
      <c r="C601">
        <v>128</v>
      </c>
      <c r="D601" t="s">
        <v>13</v>
      </c>
      <c r="E601" s="23">
        <v>45112</v>
      </c>
      <c r="F601">
        <v>116</v>
      </c>
      <c r="G601">
        <v>2.2999999999999998</v>
      </c>
      <c r="H601">
        <v>2</v>
      </c>
    </row>
    <row r="602" spans="1:8" x14ac:dyDescent="0.25">
      <c r="A602" t="s">
        <v>624</v>
      </c>
      <c r="B602" t="s">
        <v>20</v>
      </c>
      <c r="C602">
        <v>102</v>
      </c>
      <c r="D602" t="s">
        <v>10</v>
      </c>
      <c r="E602" s="23">
        <v>45113</v>
      </c>
      <c r="F602">
        <v>70</v>
      </c>
      <c r="G602">
        <v>2.8</v>
      </c>
      <c r="H602">
        <v>3</v>
      </c>
    </row>
    <row r="603" spans="1:8" x14ac:dyDescent="0.25">
      <c r="A603" t="s">
        <v>625</v>
      </c>
      <c r="B603" t="s">
        <v>7</v>
      </c>
      <c r="C603">
        <v>52</v>
      </c>
      <c r="D603" t="s">
        <v>11</v>
      </c>
      <c r="E603" s="23">
        <v>45113</v>
      </c>
      <c r="F603">
        <v>42</v>
      </c>
      <c r="G603">
        <v>4.5</v>
      </c>
      <c r="H603">
        <v>5</v>
      </c>
    </row>
    <row r="604" spans="1:8" x14ac:dyDescent="0.25">
      <c r="A604" t="s">
        <v>626</v>
      </c>
      <c r="B604" t="s">
        <v>8</v>
      </c>
      <c r="C604">
        <v>55</v>
      </c>
      <c r="D604" t="s">
        <v>9</v>
      </c>
      <c r="E604" s="23">
        <v>45114</v>
      </c>
      <c r="F604">
        <v>112</v>
      </c>
      <c r="G604">
        <v>4.5</v>
      </c>
      <c r="H604">
        <v>5</v>
      </c>
    </row>
    <row r="605" spans="1:8" x14ac:dyDescent="0.25">
      <c r="A605" t="s">
        <v>627</v>
      </c>
      <c r="B605" t="s">
        <v>21</v>
      </c>
      <c r="C605">
        <v>107</v>
      </c>
      <c r="D605" t="s">
        <v>13</v>
      </c>
      <c r="E605" s="23">
        <v>45114</v>
      </c>
      <c r="F605">
        <v>20</v>
      </c>
      <c r="G605">
        <v>4.5</v>
      </c>
      <c r="H605">
        <v>5</v>
      </c>
    </row>
    <row r="606" spans="1:8" x14ac:dyDescent="0.25">
      <c r="A606" t="s">
        <v>628</v>
      </c>
      <c r="B606" t="s">
        <v>24</v>
      </c>
      <c r="C606">
        <v>88</v>
      </c>
      <c r="D606" t="s">
        <v>11</v>
      </c>
      <c r="E606" s="23">
        <v>45115</v>
      </c>
      <c r="F606">
        <v>110</v>
      </c>
      <c r="G606">
        <v>4.8</v>
      </c>
      <c r="H606">
        <v>5</v>
      </c>
    </row>
    <row r="607" spans="1:8" x14ac:dyDescent="0.25">
      <c r="A607" t="s">
        <v>629</v>
      </c>
      <c r="B607" t="s">
        <v>15</v>
      </c>
      <c r="C607">
        <v>49</v>
      </c>
      <c r="D607" t="s">
        <v>11</v>
      </c>
      <c r="E607" s="23">
        <v>45115</v>
      </c>
      <c r="F607">
        <v>39</v>
      </c>
      <c r="G607">
        <v>4.5999999999999996</v>
      </c>
      <c r="H607">
        <v>5</v>
      </c>
    </row>
    <row r="608" spans="1:8" x14ac:dyDescent="0.25">
      <c r="A608" t="s">
        <v>630</v>
      </c>
      <c r="B608" t="s">
        <v>24</v>
      </c>
      <c r="C608">
        <v>72</v>
      </c>
      <c r="D608" t="s">
        <v>10</v>
      </c>
      <c r="E608" s="23">
        <v>45115</v>
      </c>
      <c r="F608">
        <v>76</v>
      </c>
      <c r="G608">
        <v>4.5</v>
      </c>
      <c r="H608">
        <v>5</v>
      </c>
    </row>
    <row r="609" spans="1:8" x14ac:dyDescent="0.25">
      <c r="A609" t="s">
        <v>631</v>
      </c>
      <c r="B609" t="s">
        <v>12</v>
      </c>
      <c r="C609">
        <v>50</v>
      </c>
      <c r="D609" t="s">
        <v>10</v>
      </c>
      <c r="E609" s="23">
        <v>45115</v>
      </c>
      <c r="F609">
        <v>40</v>
      </c>
      <c r="G609">
        <v>5</v>
      </c>
      <c r="H609">
        <v>5</v>
      </c>
    </row>
    <row r="610" spans="1:8" x14ac:dyDescent="0.25">
      <c r="A610" t="s">
        <v>632</v>
      </c>
      <c r="B610" t="s">
        <v>24</v>
      </c>
      <c r="C610">
        <v>52</v>
      </c>
      <c r="D610" t="s">
        <v>13</v>
      </c>
      <c r="E610" s="23">
        <v>45115</v>
      </c>
      <c r="F610">
        <v>42</v>
      </c>
      <c r="G610">
        <v>4.8</v>
      </c>
      <c r="H610">
        <v>5</v>
      </c>
    </row>
    <row r="611" spans="1:8" x14ac:dyDescent="0.25">
      <c r="A611" t="s">
        <v>633</v>
      </c>
      <c r="B611" t="s">
        <v>23</v>
      </c>
      <c r="C611">
        <v>85</v>
      </c>
      <c r="D611" t="s">
        <v>6</v>
      </c>
      <c r="E611" s="23">
        <v>45116</v>
      </c>
      <c r="F611">
        <v>215</v>
      </c>
      <c r="G611">
        <v>3.5</v>
      </c>
      <c r="H611">
        <v>4</v>
      </c>
    </row>
    <row r="612" spans="1:8" x14ac:dyDescent="0.25">
      <c r="A612" t="s">
        <v>634</v>
      </c>
      <c r="B612" t="s">
        <v>22</v>
      </c>
      <c r="C612">
        <v>98</v>
      </c>
      <c r="D612" t="s">
        <v>6</v>
      </c>
      <c r="E612" s="23">
        <v>45117</v>
      </c>
      <c r="F612">
        <v>130</v>
      </c>
      <c r="G612">
        <v>3.4</v>
      </c>
      <c r="H612">
        <v>3</v>
      </c>
    </row>
    <row r="613" spans="1:8" x14ac:dyDescent="0.25">
      <c r="A613" t="s">
        <v>635</v>
      </c>
      <c r="B613" t="s">
        <v>19</v>
      </c>
      <c r="C613">
        <v>52</v>
      </c>
      <c r="D613" t="s">
        <v>6</v>
      </c>
      <c r="E613" s="23">
        <v>45117</v>
      </c>
      <c r="F613">
        <v>190</v>
      </c>
      <c r="G613">
        <v>3.3</v>
      </c>
      <c r="H613">
        <v>3</v>
      </c>
    </row>
    <row r="614" spans="1:8" x14ac:dyDescent="0.25">
      <c r="A614" t="s">
        <v>636</v>
      </c>
      <c r="B614" t="s">
        <v>8</v>
      </c>
      <c r="C614">
        <v>154</v>
      </c>
      <c r="D614" t="s">
        <v>11</v>
      </c>
      <c r="E614" s="23">
        <v>45117</v>
      </c>
      <c r="F614">
        <v>164</v>
      </c>
      <c r="G614">
        <v>4.9000000000000004</v>
      </c>
      <c r="H614">
        <v>5</v>
      </c>
    </row>
    <row r="615" spans="1:8" x14ac:dyDescent="0.25">
      <c r="A615" t="s">
        <v>637</v>
      </c>
      <c r="B615" t="s">
        <v>5</v>
      </c>
      <c r="C615">
        <v>131</v>
      </c>
      <c r="D615" t="s">
        <v>9</v>
      </c>
      <c r="E615" s="23">
        <v>45118</v>
      </c>
      <c r="F615">
        <v>76</v>
      </c>
      <c r="G615">
        <v>4.5</v>
      </c>
      <c r="H615">
        <v>5</v>
      </c>
    </row>
    <row r="616" spans="1:8" x14ac:dyDescent="0.25">
      <c r="A616" t="s">
        <v>638</v>
      </c>
      <c r="B616" t="s">
        <v>23</v>
      </c>
      <c r="C616">
        <v>73</v>
      </c>
      <c r="D616" t="s">
        <v>9</v>
      </c>
      <c r="E616" s="23">
        <v>45119</v>
      </c>
      <c r="F616">
        <v>87</v>
      </c>
      <c r="G616">
        <v>4.8</v>
      </c>
      <c r="H616">
        <v>5</v>
      </c>
    </row>
    <row r="617" spans="1:8" x14ac:dyDescent="0.25">
      <c r="A617" t="s">
        <v>639</v>
      </c>
      <c r="B617" t="s">
        <v>14</v>
      </c>
      <c r="C617">
        <v>45</v>
      </c>
      <c r="D617" t="s">
        <v>6</v>
      </c>
      <c r="E617" s="23">
        <v>45119</v>
      </c>
      <c r="F617">
        <v>84</v>
      </c>
      <c r="G617">
        <v>4.8</v>
      </c>
      <c r="H617">
        <v>5</v>
      </c>
    </row>
    <row r="618" spans="1:8" x14ac:dyDescent="0.25">
      <c r="A618" t="s">
        <v>640</v>
      </c>
      <c r="B618" t="s">
        <v>7</v>
      </c>
      <c r="C618">
        <v>114</v>
      </c>
      <c r="D618" t="s">
        <v>13</v>
      </c>
      <c r="E618" s="23">
        <v>45119</v>
      </c>
      <c r="F618">
        <v>114</v>
      </c>
      <c r="G618">
        <v>3.9</v>
      </c>
      <c r="H618">
        <v>4</v>
      </c>
    </row>
    <row r="619" spans="1:8" x14ac:dyDescent="0.25">
      <c r="A619" t="s">
        <v>641</v>
      </c>
      <c r="B619" t="s">
        <v>22</v>
      </c>
      <c r="C619">
        <v>69</v>
      </c>
      <c r="D619" t="s">
        <v>9</v>
      </c>
      <c r="E619" s="23">
        <v>45120</v>
      </c>
      <c r="F619">
        <v>56</v>
      </c>
      <c r="G619">
        <v>3.9</v>
      </c>
      <c r="H619">
        <v>4</v>
      </c>
    </row>
    <row r="620" spans="1:8" x14ac:dyDescent="0.25">
      <c r="A620" t="s">
        <v>642</v>
      </c>
      <c r="B620" t="s">
        <v>5</v>
      </c>
      <c r="C620">
        <v>33</v>
      </c>
      <c r="D620" t="s">
        <v>11</v>
      </c>
      <c r="E620" s="23">
        <v>45120</v>
      </c>
      <c r="F620">
        <v>27</v>
      </c>
      <c r="G620">
        <v>3.7</v>
      </c>
      <c r="H620">
        <v>4</v>
      </c>
    </row>
    <row r="621" spans="1:8" x14ac:dyDescent="0.25">
      <c r="A621" t="s">
        <v>643</v>
      </c>
      <c r="B621" t="s">
        <v>12</v>
      </c>
      <c r="C621">
        <v>31</v>
      </c>
      <c r="D621" t="s">
        <v>10</v>
      </c>
      <c r="E621" s="23">
        <v>45121</v>
      </c>
      <c r="F621">
        <v>84</v>
      </c>
      <c r="G621">
        <v>4.8</v>
      </c>
      <c r="H621">
        <v>5</v>
      </c>
    </row>
    <row r="622" spans="1:8" x14ac:dyDescent="0.25">
      <c r="A622" t="s">
        <v>644</v>
      </c>
      <c r="B622" t="s">
        <v>14</v>
      </c>
      <c r="C622">
        <v>168</v>
      </c>
      <c r="D622" t="s">
        <v>11</v>
      </c>
      <c r="E622" s="23">
        <v>45121</v>
      </c>
      <c r="F622">
        <v>72</v>
      </c>
      <c r="G622">
        <v>3.5</v>
      </c>
      <c r="H622">
        <v>4</v>
      </c>
    </row>
    <row r="623" spans="1:8" x14ac:dyDescent="0.25">
      <c r="A623" t="s">
        <v>645</v>
      </c>
      <c r="B623" t="s">
        <v>23</v>
      </c>
      <c r="C623">
        <v>111</v>
      </c>
      <c r="D623" t="s">
        <v>13</v>
      </c>
      <c r="E623" s="23">
        <v>45122</v>
      </c>
      <c r="F623">
        <v>126</v>
      </c>
      <c r="G623">
        <v>4.2</v>
      </c>
      <c r="H623">
        <v>4</v>
      </c>
    </row>
    <row r="624" spans="1:8" x14ac:dyDescent="0.25">
      <c r="A624" t="s">
        <v>646</v>
      </c>
      <c r="B624" t="s">
        <v>12</v>
      </c>
      <c r="C624">
        <v>80</v>
      </c>
      <c r="D624" t="s">
        <v>11</v>
      </c>
      <c r="E624" s="23">
        <v>45123</v>
      </c>
      <c r="F624">
        <v>88</v>
      </c>
      <c r="G624">
        <v>4.9000000000000004</v>
      </c>
      <c r="H624">
        <v>5</v>
      </c>
    </row>
    <row r="625" spans="1:8" x14ac:dyDescent="0.25">
      <c r="A625" t="s">
        <v>647</v>
      </c>
      <c r="B625" t="s">
        <v>20</v>
      </c>
      <c r="C625">
        <v>37</v>
      </c>
      <c r="D625" t="s">
        <v>11</v>
      </c>
      <c r="E625" s="23">
        <v>45123</v>
      </c>
      <c r="F625">
        <v>124</v>
      </c>
      <c r="G625">
        <v>4.5999999999999996</v>
      </c>
      <c r="H625">
        <v>5</v>
      </c>
    </row>
    <row r="626" spans="1:8" x14ac:dyDescent="0.25">
      <c r="A626" t="s">
        <v>648</v>
      </c>
      <c r="B626" t="s">
        <v>17</v>
      </c>
      <c r="C626">
        <v>137</v>
      </c>
      <c r="D626" t="s">
        <v>11</v>
      </c>
      <c r="E626" s="23">
        <v>45124</v>
      </c>
      <c r="F626">
        <v>84</v>
      </c>
      <c r="G626">
        <v>2.6</v>
      </c>
      <c r="H626">
        <v>3</v>
      </c>
    </row>
    <row r="627" spans="1:8" x14ac:dyDescent="0.25">
      <c r="A627" t="s">
        <v>649</v>
      </c>
      <c r="B627" t="s">
        <v>22</v>
      </c>
      <c r="C627">
        <v>123</v>
      </c>
      <c r="D627" t="s">
        <v>13</v>
      </c>
      <c r="E627" s="23">
        <v>45124</v>
      </c>
      <c r="F627">
        <v>80</v>
      </c>
      <c r="G627">
        <v>2.7</v>
      </c>
      <c r="H627">
        <v>3</v>
      </c>
    </row>
    <row r="628" spans="1:8" x14ac:dyDescent="0.25">
      <c r="A628" t="s">
        <v>650</v>
      </c>
      <c r="B628" t="s">
        <v>16</v>
      </c>
      <c r="C628">
        <v>105</v>
      </c>
      <c r="D628" t="s">
        <v>13</v>
      </c>
      <c r="E628" s="23">
        <v>45125</v>
      </c>
      <c r="F628">
        <v>176</v>
      </c>
      <c r="G628">
        <v>4.7</v>
      </c>
      <c r="H628">
        <v>5</v>
      </c>
    </row>
    <row r="629" spans="1:8" x14ac:dyDescent="0.25">
      <c r="A629" t="s">
        <v>651</v>
      </c>
      <c r="B629" t="s">
        <v>20</v>
      </c>
      <c r="C629">
        <v>76</v>
      </c>
      <c r="D629" t="s">
        <v>6</v>
      </c>
      <c r="E629" s="23">
        <v>45126</v>
      </c>
      <c r="F629">
        <v>84</v>
      </c>
      <c r="G629">
        <v>3.9</v>
      </c>
      <c r="H629">
        <v>4</v>
      </c>
    </row>
    <row r="630" spans="1:8" x14ac:dyDescent="0.25">
      <c r="A630" t="s">
        <v>652</v>
      </c>
      <c r="B630" t="s">
        <v>12</v>
      </c>
      <c r="C630">
        <v>144</v>
      </c>
      <c r="D630" t="s">
        <v>6</v>
      </c>
      <c r="E630" s="23">
        <v>45126</v>
      </c>
      <c r="F630">
        <v>164</v>
      </c>
      <c r="G630">
        <v>2.8</v>
      </c>
      <c r="H630">
        <v>3</v>
      </c>
    </row>
    <row r="631" spans="1:8" x14ac:dyDescent="0.25">
      <c r="A631" t="s">
        <v>653</v>
      </c>
      <c r="B631" t="s">
        <v>5</v>
      </c>
      <c r="C631">
        <v>109</v>
      </c>
      <c r="D631" t="s">
        <v>10</v>
      </c>
      <c r="E631" s="23">
        <v>45126</v>
      </c>
      <c r="F631">
        <v>132</v>
      </c>
      <c r="G631">
        <v>3.1</v>
      </c>
      <c r="H631">
        <v>3</v>
      </c>
    </row>
    <row r="632" spans="1:8" x14ac:dyDescent="0.25">
      <c r="A632" t="s">
        <v>654</v>
      </c>
      <c r="B632" t="s">
        <v>22</v>
      </c>
      <c r="C632">
        <v>172</v>
      </c>
      <c r="D632" t="s">
        <v>11</v>
      </c>
      <c r="E632" s="23">
        <v>45127</v>
      </c>
      <c r="F632">
        <v>27</v>
      </c>
      <c r="G632">
        <v>4.2</v>
      </c>
      <c r="H632">
        <v>4</v>
      </c>
    </row>
    <row r="633" spans="1:8" x14ac:dyDescent="0.25">
      <c r="A633" t="s">
        <v>655</v>
      </c>
      <c r="B633" t="s">
        <v>12</v>
      </c>
      <c r="C633">
        <v>56</v>
      </c>
      <c r="D633" t="s">
        <v>13</v>
      </c>
      <c r="E633" s="23">
        <v>45127</v>
      </c>
      <c r="F633">
        <v>27</v>
      </c>
      <c r="G633">
        <v>4.3</v>
      </c>
      <c r="H633">
        <v>4</v>
      </c>
    </row>
    <row r="634" spans="1:8" x14ac:dyDescent="0.25">
      <c r="A634" t="s">
        <v>656</v>
      </c>
      <c r="B634" t="s">
        <v>12</v>
      </c>
      <c r="C634">
        <v>121</v>
      </c>
      <c r="D634" t="s">
        <v>9</v>
      </c>
      <c r="E634" s="23">
        <v>45127</v>
      </c>
      <c r="F634">
        <v>20</v>
      </c>
      <c r="G634">
        <v>2.7</v>
      </c>
      <c r="H634">
        <v>3</v>
      </c>
    </row>
    <row r="635" spans="1:8" x14ac:dyDescent="0.25">
      <c r="A635" t="s">
        <v>657</v>
      </c>
      <c r="B635" t="s">
        <v>22</v>
      </c>
      <c r="C635">
        <v>41</v>
      </c>
      <c r="D635" t="s">
        <v>13</v>
      </c>
      <c r="E635" s="23">
        <v>45128</v>
      </c>
      <c r="F635">
        <v>112</v>
      </c>
      <c r="G635">
        <v>2.2999999999999998</v>
      </c>
      <c r="H635">
        <v>2</v>
      </c>
    </row>
    <row r="636" spans="1:8" x14ac:dyDescent="0.25">
      <c r="A636" t="s">
        <v>658</v>
      </c>
      <c r="B636" t="s">
        <v>21</v>
      </c>
      <c r="C636">
        <v>60</v>
      </c>
      <c r="D636" t="s">
        <v>11</v>
      </c>
      <c r="E636" s="23">
        <v>45128</v>
      </c>
      <c r="F636">
        <v>60</v>
      </c>
      <c r="G636">
        <v>2.2999999999999998</v>
      </c>
      <c r="H636">
        <v>2</v>
      </c>
    </row>
    <row r="637" spans="1:8" x14ac:dyDescent="0.25">
      <c r="A637" t="s">
        <v>659</v>
      </c>
      <c r="B637" t="s">
        <v>21</v>
      </c>
      <c r="C637">
        <v>144</v>
      </c>
      <c r="D637" t="s">
        <v>11</v>
      </c>
      <c r="E637" s="23">
        <v>45129</v>
      </c>
      <c r="F637">
        <v>102</v>
      </c>
      <c r="G637">
        <v>2.9</v>
      </c>
      <c r="H637">
        <v>3</v>
      </c>
    </row>
    <row r="638" spans="1:8" x14ac:dyDescent="0.25">
      <c r="A638" t="s">
        <v>660</v>
      </c>
      <c r="B638" t="s">
        <v>8</v>
      </c>
      <c r="C638">
        <v>67</v>
      </c>
      <c r="D638" t="s">
        <v>11</v>
      </c>
      <c r="E638" s="23">
        <v>45129</v>
      </c>
      <c r="F638">
        <v>38</v>
      </c>
      <c r="G638">
        <v>4.2</v>
      </c>
      <c r="H638">
        <v>4</v>
      </c>
    </row>
    <row r="639" spans="1:8" x14ac:dyDescent="0.25">
      <c r="A639" t="s">
        <v>661</v>
      </c>
      <c r="B639" t="s">
        <v>22</v>
      </c>
      <c r="C639">
        <v>162</v>
      </c>
      <c r="D639" t="s">
        <v>10</v>
      </c>
      <c r="E639" s="23">
        <v>45129</v>
      </c>
      <c r="F639">
        <v>82</v>
      </c>
      <c r="G639">
        <v>4.5999999999999996</v>
      </c>
      <c r="H639">
        <v>5</v>
      </c>
    </row>
    <row r="640" spans="1:8" x14ac:dyDescent="0.25">
      <c r="A640" t="s">
        <v>662</v>
      </c>
      <c r="B640" t="s">
        <v>21</v>
      </c>
      <c r="C640">
        <v>87</v>
      </c>
      <c r="D640" t="s">
        <v>9</v>
      </c>
      <c r="E640" s="23">
        <v>45132</v>
      </c>
      <c r="F640">
        <v>125</v>
      </c>
      <c r="G640">
        <v>4.5</v>
      </c>
      <c r="H640">
        <v>5</v>
      </c>
    </row>
    <row r="641" spans="1:8" x14ac:dyDescent="0.25">
      <c r="A641" t="s">
        <v>663</v>
      </c>
      <c r="B641" t="s">
        <v>19</v>
      </c>
      <c r="C641">
        <v>10</v>
      </c>
      <c r="D641" t="s">
        <v>6</v>
      </c>
      <c r="E641" s="23">
        <v>45133</v>
      </c>
      <c r="F641">
        <v>72</v>
      </c>
      <c r="G641">
        <v>3.7</v>
      </c>
      <c r="H641">
        <v>4</v>
      </c>
    </row>
    <row r="642" spans="1:8" x14ac:dyDescent="0.25">
      <c r="A642" t="s">
        <v>664</v>
      </c>
      <c r="B642" t="s">
        <v>12</v>
      </c>
      <c r="C642">
        <v>138</v>
      </c>
      <c r="D642" t="s">
        <v>6</v>
      </c>
      <c r="E642" s="23">
        <v>45133</v>
      </c>
      <c r="F642">
        <v>195</v>
      </c>
      <c r="G642">
        <v>4.0999999999999996</v>
      </c>
      <c r="H642">
        <v>4</v>
      </c>
    </row>
    <row r="643" spans="1:8" x14ac:dyDescent="0.25">
      <c r="A643" t="s">
        <v>665</v>
      </c>
      <c r="B643" t="s">
        <v>22</v>
      </c>
      <c r="C643">
        <v>31</v>
      </c>
      <c r="D643" t="s">
        <v>6</v>
      </c>
      <c r="E643" s="23">
        <v>45134</v>
      </c>
      <c r="F643">
        <v>160</v>
      </c>
      <c r="G643">
        <v>3.4</v>
      </c>
      <c r="H643">
        <v>3</v>
      </c>
    </row>
    <row r="644" spans="1:8" x14ac:dyDescent="0.25">
      <c r="A644" t="s">
        <v>666</v>
      </c>
      <c r="B644" t="s">
        <v>16</v>
      </c>
      <c r="C644">
        <v>75</v>
      </c>
      <c r="D644" t="s">
        <v>10</v>
      </c>
      <c r="E644" s="23">
        <v>45134</v>
      </c>
      <c r="F644">
        <v>78</v>
      </c>
      <c r="G644">
        <v>3.3</v>
      </c>
      <c r="H644">
        <v>3</v>
      </c>
    </row>
    <row r="645" spans="1:8" x14ac:dyDescent="0.25">
      <c r="A645" t="s">
        <v>667</v>
      </c>
      <c r="B645" t="s">
        <v>20</v>
      </c>
      <c r="C645">
        <v>65</v>
      </c>
      <c r="D645" t="s">
        <v>10</v>
      </c>
      <c r="E645" s="23">
        <v>45135</v>
      </c>
      <c r="F645">
        <v>70</v>
      </c>
      <c r="G645">
        <v>4.4000000000000004</v>
      </c>
      <c r="H645">
        <v>4</v>
      </c>
    </row>
    <row r="646" spans="1:8" x14ac:dyDescent="0.25">
      <c r="A646" t="s">
        <v>668</v>
      </c>
      <c r="B646" t="s">
        <v>23</v>
      </c>
      <c r="C646">
        <v>106</v>
      </c>
      <c r="D646" t="s">
        <v>13</v>
      </c>
      <c r="E646" s="23">
        <v>45135</v>
      </c>
      <c r="F646">
        <v>105</v>
      </c>
      <c r="G646">
        <v>4.2</v>
      </c>
      <c r="H646">
        <v>4</v>
      </c>
    </row>
    <row r="647" spans="1:8" x14ac:dyDescent="0.25">
      <c r="A647" t="s">
        <v>669</v>
      </c>
      <c r="B647" t="s">
        <v>20</v>
      </c>
      <c r="C647">
        <v>107</v>
      </c>
      <c r="D647" t="s">
        <v>13</v>
      </c>
      <c r="E647" s="23">
        <v>45136</v>
      </c>
      <c r="F647">
        <v>78</v>
      </c>
      <c r="G647">
        <v>3.4</v>
      </c>
      <c r="H647">
        <v>3</v>
      </c>
    </row>
    <row r="648" spans="1:8" x14ac:dyDescent="0.25">
      <c r="A648" t="s">
        <v>670</v>
      </c>
      <c r="B648" t="s">
        <v>17</v>
      </c>
      <c r="C648">
        <v>78</v>
      </c>
      <c r="D648" t="s">
        <v>13</v>
      </c>
      <c r="E648" s="23">
        <v>45138</v>
      </c>
      <c r="F648">
        <v>205</v>
      </c>
      <c r="G648">
        <v>4.4000000000000004</v>
      </c>
      <c r="H648">
        <v>4</v>
      </c>
    </row>
    <row r="649" spans="1:8" x14ac:dyDescent="0.25">
      <c r="A649" t="s">
        <v>671</v>
      </c>
      <c r="B649" t="s">
        <v>24</v>
      </c>
      <c r="C649">
        <v>122</v>
      </c>
      <c r="D649" t="s">
        <v>13</v>
      </c>
      <c r="E649" s="23">
        <v>45138</v>
      </c>
      <c r="F649">
        <v>78</v>
      </c>
      <c r="G649">
        <v>2.7</v>
      </c>
      <c r="H649">
        <v>3</v>
      </c>
    </row>
    <row r="650" spans="1:8" x14ac:dyDescent="0.25">
      <c r="A650" t="s">
        <v>672</v>
      </c>
      <c r="B650" t="s">
        <v>12</v>
      </c>
      <c r="C650">
        <v>58</v>
      </c>
      <c r="D650" t="s">
        <v>6</v>
      </c>
      <c r="E650" s="23">
        <v>45138</v>
      </c>
      <c r="F650">
        <v>38</v>
      </c>
      <c r="G650">
        <v>4.5</v>
      </c>
      <c r="H650">
        <v>5</v>
      </c>
    </row>
    <row r="651" spans="1:8" x14ac:dyDescent="0.25">
      <c r="A651" t="s">
        <v>673</v>
      </c>
      <c r="B651" t="s">
        <v>17</v>
      </c>
      <c r="C651">
        <v>33</v>
      </c>
      <c r="D651" t="s">
        <v>11</v>
      </c>
      <c r="E651" s="23">
        <v>45138</v>
      </c>
      <c r="F651">
        <v>92</v>
      </c>
      <c r="G651">
        <v>1.7</v>
      </c>
      <c r="H651">
        <v>2</v>
      </c>
    </row>
    <row r="652" spans="1:8" x14ac:dyDescent="0.25">
      <c r="A652" t="s">
        <v>674</v>
      </c>
      <c r="B652" t="s">
        <v>5</v>
      </c>
      <c r="C652">
        <v>164</v>
      </c>
      <c r="D652" t="s">
        <v>10</v>
      </c>
      <c r="E652" s="23">
        <v>45138</v>
      </c>
      <c r="F652">
        <v>36</v>
      </c>
      <c r="G652">
        <v>4.7</v>
      </c>
      <c r="H652">
        <v>5</v>
      </c>
    </row>
    <row r="653" spans="1:8" x14ac:dyDescent="0.25">
      <c r="A653" t="s">
        <v>675</v>
      </c>
      <c r="B653" t="s">
        <v>16</v>
      </c>
      <c r="C653">
        <v>163</v>
      </c>
      <c r="D653" t="s">
        <v>9</v>
      </c>
      <c r="E653" s="23">
        <v>45138</v>
      </c>
      <c r="F653">
        <v>76</v>
      </c>
      <c r="G653">
        <v>4.4000000000000004</v>
      </c>
      <c r="H653">
        <v>4</v>
      </c>
    </row>
    <row r="654" spans="1:8" x14ac:dyDescent="0.25">
      <c r="A654" t="s">
        <v>676</v>
      </c>
      <c r="B654" t="s">
        <v>15</v>
      </c>
      <c r="C654">
        <v>71</v>
      </c>
      <c r="D654" t="s">
        <v>10</v>
      </c>
      <c r="E654" s="23">
        <v>45140</v>
      </c>
      <c r="F654">
        <v>170</v>
      </c>
      <c r="G654">
        <v>3.5</v>
      </c>
      <c r="H654">
        <v>4</v>
      </c>
    </row>
    <row r="655" spans="1:8" x14ac:dyDescent="0.25">
      <c r="A655" t="s">
        <v>677</v>
      </c>
      <c r="B655" t="s">
        <v>17</v>
      </c>
      <c r="C655">
        <v>103</v>
      </c>
      <c r="D655" t="s">
        <v>6</v>
      </c>
      <c r="E655" s="23">
        <v>45141</v>
      </c>
      <c r="F655">
        <v>117</v>
      </c>
      <c r="G655">
        <v>4.7</v>
      </c>
      <c r="H655">
        <v>5</v>
      </c>
    </row>
    <row r="656" spans="1:8" x14ac:dyDescent="0.25">
      <c r="A656" t="s">
        <v>678</v>
      </c>
      <c r="B656" t="s">
        <v>7</v>
      </c>
      <c r="C656">
        <v>69</v>
      </c>
      <c r="D656" t="s">
        <v>9</v>
      </c>
      <c r="E656" s="23">
        <v>45141</v>
      </c>
      <c r="F656">
        <v>20</v>
      </c>
      <c r="G656">
        <v>4.3</v>
      </c>
      <c r="H656">
        <v>4</v>
      </c>
    </row>
    <row r="657" spans="1:8" x14ac:dyDescent="0.25">
      <c r="A657" t="s">
        <v>679</v>
      </c>
      <c r="B657" t="s">
        <v>16</v>
      </c>
      <c r="C657">
        <v>111</v>
      </c>
      <c r="D657" t="s">
        <v>6</v>
      </c>
      <c r="E657" s="23">
        <v>45141</v>
      </c>
      <c r="F657">
        <v>99</v>
      </c>
      <c r="G657">
        <v>4.0999999999999996</v>
      </c>
      <c r="H657">
        <v>4</v>
      </c>
    </row>
    <row r="658" spans="1:8" x14ac:dyDescent="0.25">
      <c r="A658" t="s">
        <v>680</v>
      </c>
      <c r="B658" t="s">
        <v>18</v>
      </c>
      <c r="C658">
        <v>97</v>
      </c>
      <c r="D658" t="s">
        <v>9</v>
      </c>
      <c r="E658" s="23">
        <v>45142</v>
      </c>
      <c r="F658">
        <v>105</v>
      </c>
      <c r="G658">
        <v>2.9</v>
      </c>
      <c r="H658">
        <v>3</v>
      </c>
    </row>
    <row r="659" spans="1:8" x14ac:dyDescent="0.25">
      <c r="A659" t="s">
        <v>681</v>
      </c>
      <c r="B659" t="s">
        <v>14</v>
      </c>
      <c r="C659">
        <v>144</v>
      </c>
      <c r="D659" t="s">
        <v>13</v>
      </c>
      <c r="E659" s="23">
        <v>45142</v>
      </c>
      <c r="F659">
        <v>195</v>
      </c>
      <c r="G659">
        <v>3.4</v>
      </c>
      <c r="H659">
        <v>3</v>
      </c>
    </row>
    <row r="660" spans="1:8" x14ac:dyDescent="0.25">
      <c r="A660" t="s">
        <v>682</v>
      </c>
      <c r="B660" t="s">
        <v>23</v>
      </c>
      <c r="C660">
        <v>56</v>
      </c>
      <c r="D660" t="s">
        <v>9</v>
      </c>
      <c r="E660" s="23">
        <v>45143</v>
      </c>
      <c r="F660">
        <v>152</v>
      </c>
      <c r="G660">
        <v>4.5999999999999996</v>
      </c>
      <c r="H660">
        <v>5</v>
      </c>
    </row>
    <row r="661" spans="1:8" x14ac:dyDescent="0.25">
      <c r="A661" t="s">
        <v>683</v>
      </c>
      <c r="B661" t="s">
        <v>14</v>
      </c>
      <c r="C661">
        <v>132</v>
      </c>
      <c r="D661" t="s">
        <v>13</v>
      </c>
      <c r="E661" s="23">
        <v>45144</v>
      </c>
      <c r="F661">
        <v>195</v>
      </c>
      <c r="G661">
        <v>4.9000000000000004</v>
      </c>
      <c r="H661">
        <v>5</v>
      </c>
    </row>
    <row r="662" spans="1:8" x14ac:dyDescent="0.25">
      <c r="A662" t="s">
        <v>684</v>
      </c>
      <c r="B662" t="s">
        <v>15</v>
      </c>
      <c r="C662">
        <v>72</v>
      </c>
      <c r="D662" t="s">
        <v>11</v>
      </c>
      <c r="E662" s="23">
        <v>45144</v>
      </c>
      <c r="F662">
        <v>70</v>
      </c>
      <c r="G662">
        <v>3.6</v>
      </c>
      <c r="H662">
        <v>4</v>
      </c>
    </row>
    <row r="663" spans="1:8" x14ac:dyDescent="0.25">
      <c r="A663" t="s">
        <v>685</v>
      </c>
      <c r="B663" t="s">
        <v>16</v>
      </c>
      <c r="C663">
        <v>18</v>
      </c>
      <c r="D663" t="s">
        <v>11</v>
      </c>
      <c r="E663" s="23">
        <v>45144</v>
      </c>
      <c r="F663">
        <v>22</v>
      </c>
      <c r="G663">
        <v>3.5</v>
      </c>
      <c r="H663">
        <v>4</v>
      </c>
    </row>
    <row r="664" spans="1:8" x14ac:dyDescent="0.25">
      <c r="A664" t="s">
        <v>686</v>
      </c>
      <c r="B664" t="s">
        <v>8</v>
      </c>
      <c r="C664">
        <v>115</v>
      </c>
      <c r="D664" t="s">
        <v>6</v>
      </c>
      <c r="E664" s="23">
        <v>45145</v>
      </c>
      <c r="F664">
        <v>40</v>
      </c>
      <c r="G664">
        <v>3.3</v>
      </c>
      <c r="H664">
        <v>3</v>
      </c>
    </row>
    <row r="665" spans="1:8" x14ac:dyDescent="0.25">
      <c r="A665" t="s">
        <v>687</v>
      </c>
      <c r="B665" t="s">
        <v>8</v>
      </c>
      <c r="C665">
        <v>124</v>
      </c>
      <c r="D665" t="s">
        <v>9</v>
      </c>
      <c r="E665" s="23">
        <v>45146</v>
      </c>
      <c r="F665">
        <v>54</v>
      </c>
      <c r="G665">
        <v>3.8</v>
      </c>
      <c r="H665">
        <v>4</v>
      </c>
    </row>
    <row r="666" spans="1:8" x14ac:dyDescent="0.25">
      <c r="A666" t="s">
        <v>688</v>
      </c>
      <c r="B666" t="s">
        <v>12</v>
      </c>
      <c r="C666">
        <v>130</v>
      </c>
      <c r="D666" t="s">
        <v>9</v>
      </c>
      <c r="E666" s="23">
        <v>45146</v>
      </c>
      <c r="F666">
        <v>60</v>
      </c>
      <c r="G666">
        <v>2.5</v>
      </c>
      <c r="H666">
        <v>3</v>
      </c>
    </row>
    <row r="667" spans="1:8" x14ac:dyDescent="0.25">
      <c r="A667" t="s">
        <v>689</v>
      </c>
      <c r="B667" t="s">
        <v>19</v>
      </c>
      <c r="C667">
        <v>120</v>
      </c>
      <c r="D667" t="s">
        <v>10</v>
      </c>
      <c r="E667" s="23">
        <v>45148</v>
      </c>
      <c r="F667">
        <v>58</v>
      </c>
      <c r="G667">
        <v>4.5999999999999996</v>
      </c>
      <c r="H667">
        <v>5</v>
      </c>
    </row>
    <row r="668" spans="1:8" x14ac:dyDescent="0.25">
      <c r="A668" t="s">
        <v>690</v>
      </c>
      <c r="B668" t="s">
        <v>18</v>
      </c>
      <c r="C668">
        <v>75</v>
      </c>
      <c r="D668" t="s">
        <v>6</v>
      </c>
      <c r="E668" s="23">
        <v>45148</v>
      </c>
      <c r="F668">
        <v>220</v>
      </c>
      <c r="G668">
        <v>4.7</v>
      </c>
      <c r="H668">
        <v>5</v>
      </c>
    </row>
    <row r="669" spans="1:8" x14ac:dyDescent="0.25">
      <c r="A669" t="s">
        <v>691</v>
      </c>
      <c r="B669" t="s">
        <v>20</v>
      </c>
      <c r="C669">
        <v>63</v>
      </c>
      <c r="D669" t="s">
        <v>6</v>
      </c>
      <c r="E669" s="23">
        <v>45148</v>
      </c>
      <c r="F669">
        <v>27</v>
      </c>
      <c r="G669">
        <v>3.6</v>
      </c>
      <c r="H669">
        <v>4</v>
      </c>
    </row>
    <row r="670" spans="1:8" x14ac:dyDescent="0.25">
      <c r="A670" t="s">
        <v>692</v>
      </c>
      <c r="B670" t="s">
        <v>14</v>
      </c>
      <c r="C670">
        <v>74</v>
      </c>
      <c r="D670" t="s">
        <v>6</v>
      </c>
      <c r="E670" s="23">
        <v>45150</v>
      </c>
      <c r="F670">
        <v>26</v>
      </c>
      <c r="G670">
        <v>4.3</v>
      </c>
      <c r="H670">
        <v>4</v>
      </c>
    </row>
    <row r="671" spans="1:8" x14ac:dyDescent="0.25">
      <c r="A671" t="s">
        <v>693</v>
      </c>
      <c r="B671" t="s">
        <v>7</v>
      </c>
      <c r="C671">
        <v>134</v>
      </c>
      <c r="D671" t="s">
        <v>13</v>
      </c>
      <c r="E671" s="23">
        <v>45151</v>
      </c>
      <c r="F671">
        <v>160</v>
      </c>
      <c r="G671">
        <v>4.7</v>
      </c>
      <c r="H671">
        <v>5</v>
      </c>
    </row>
    <row r="672" spans="1:8" x14ac:dyDescent="0.25">
      <c r="A672" t="s">
        <v>694</v>
      </c>
      <c r="B672" t="s">
        <v>16</v>
      </c>
      <c r="C672">
        <v>103</v>
      </c>
      <c r="D672" t="s">
        <v>9</v>
      </c>
      <c r="E672" s="23">
        <v>45151</v>
      </c>
      <c r="F672">
        <v>200</v>
      </c>
      <c r="G672">
        <v>4.9000000000000004</v>
      </c>
      <c r="H672">
        <v>5</v>
      </c>
    </row>
    <row r="673" spans="1:8" x14ac:dyDescent="0.25">
      <c r="A673" t="s">
        <v>695</v>
      </c>
      <c r="B673" t="s">
        <v>16</v>
      </c>
      <c r="C673">
        <v>155</v>
      </c>
      <c r="D673" t="s">
        <v>10</v>
      </c>
      <c r="E673" s="23">
        <v>45154</v>
      </c>
      <c r="F673">
        <v>135</v>
      </c>
      <c r="G673">
        <v>4.9000000000000004</v>
      </c>
      <c r="H673">
        <v>5</v>
      </c>
    </row>
    <row r="674" spans="1:8" x14ac:dyDescent="0.25">
      <c r="A674" t="s">
        <v>696</v>
      </c>
      <c r="B674" t="s">
        <v>20</v>
      </c>
      <c r="C674">
        <v>128</v>
      </c>
      <c r="D674" t="s">
        <v>9</v>
      </c>
      <c r="E674" s="23">
        <v>45155</v>
      </c>
      <c r="F674">
        <v>22</v>
      </c>
      <c r="G674">
        <v>1.9</v>
      </c>
      <c r="H674">
        <v>2</v>
      </c>
    </row>
    <row r="675" spans="1:8" x14ac:dyDescent="0.25">
      <c r="A675" t="s">
        <v>697</v>
      </c>
      <c r="B675" t="s">
        <v>18</v>
      </c>
      <c r="C675">
        <v>89</v>
      </c>
      <c r="D675" t="s">
        <v>13</v>
      </c>
      <c r="E675" s="23">
        <v>45156</v>
      </c>
      <c r="F675">
        <v>164</v>
      </c>
      <c r="G675">
        <v>4.5</v>
      </c>
      <c r="H675">
        <v>5</v>
      </c>
    </row>
    <row r="676" spans="1:8" x14ac:dyDescent="0.25">
      <c r="A676" t="s">
        <v>698</v>
      </c>
      <c r="B676" t="s">
        <v>8</v>
      </c>
      <c r="C676">
        <v>81</v>
      </c>
      <c r="D676" t="s">
        <v>10</v>
      </c>
      <c r="E676" s="23">
        <v>45156</v>
      </c>
      <c r="F676">
        <v>21</v>
      </c>
      <c r="G676">
        <v>4.9000000000000004</v>
      </c>
      <c r="H676">
        <v>5</v>
      </c>
    </row>
    <row r="677" spans="1:8" x14ac:dyDescent="0.25">
      <c r="A677" t="s">
        <v>699</v>
      </c>
      <c r="B677" t="s">
        <v>18</v>
      </c>
      <c r="C677">
        <v>66</v>
      </c>
      <c r="D677" t="s">
        <v>13</v>
      </c>
      <c r="E677" s="23">
        <v>45157</v>
      </c>
      <c r="F677">
        <v>120</v>
      </c>
      <c r="G677">
        <v>4.5</v>
      </c>
      <c r="H677">
        <v>5</v>
      </c>
    </row>
    <row r="678" spans="1:8" x14ac:dyDescent="0.25">
      <c r="A678" t="s">
        <v>700</v>
      </c>
      <c r="B678" t="s">
        <v>15</v>
      </c>
      <c r="C678">
        <v>61</v>
      </c>
      <c r="D678" t="s">
        <v>11</v>
      </c>
      <c r="E678" s="23">
        <v>45157</v>
      </c>
      <c r="F678">
        <v>93</v>
      </c>
      <c r="G678">
        <v>2.7</v>
      </c>
      <c r="H678">
        <v>3</v>
      </c>
    </row>
    <row r="679" spans="1:8" x14ac:dyDescent="0.25">
      <c r="A679" t="s">
        <v>701</v>
      </c>
      <c r="B679" t="s">
        <v>8</v>
      </c>
      <c r="C679">
        <v>128</v>
      </c>
      <c r="D679" t="s">
        <v>11</v>
      </c>
      <c r="E679" s="23">
        <v>45157</v>
      </c>
      <c r="F679">
        <v>135</v>
      </c>
      <c r="G679">
        <v>2.1</v>
      </c>
      <c r="H679">
        <v>2</v>
      </c>
    </row>
    <row r="680" spans="1:8" x14ac:dyDescent="0.25">
      <c r="A680" t="s">
        <v>702</v>
      </c>
      <c r="B680" t="s">
        <v>16</v>
      </c>
      <c r="C680">
        <v>30</v>
      </c>
      <c r="D680" t="s">
        <v>10</v>
      </c>
      <c r="E680" s="23">
        <v>45157</v>
      </c>
      <c r="F680">
        <v>210</v>
      </c>
      <c r="G680">
        <v>4.2</v>
      </c>
      <c r="H680">
        <v>4</v>
      </c>
    </row>
    <row r="681" spans="1:8" x14ac:dyDescent="0.25">
      <c r="A681" t="s">
        <v>703</v>
      </c>
      <c r="B681" t="s">
        <v>5</v>
      </c>
      <c r="C681">
        <v>63</v>
      </c>
      <c r="D681" t="s">
        <v>11</v>
      </c>
      <c r="E681" s="23">
        <v>45158</v>
      </c>
      <c r="F681">
        <v>29</v>
      </c>
      <c r="G681">
        <v>4.7</v>
      </c>
      <c r="H681">
        <v>5</v>
      </c>
    </row>
    <row r="682" spans="1:8" x14ac:dyDescent="0.25">
      <c r="A682" t="s">
        <v>704</v>
      </c>
      <c r="B682" t="s">
        <v>24</v>
      </c>
      <c r="C682">
        <v>64</v>
      </c>
      <c r="D682" t="s">
        <v>6</v>
      </c>
      <c r="E682" s="23">
        <v>45158</v>
      </c>
      <c r="F682">
        <v>111</v>
      </c>
      <c r="G682">
        <v>3.9</v>
      </c>
      <c r="H682">
        <v>4</v>
      </c>
    </row>
    <row r="683" spans="1:8" x14ac:dyDescent="0.25">
      <c r="A683" t="s">
        <v>705</v>
      </c>
      <c r="B683" t="s">
        <v>21</v>
      </c>
      <c r="C683">
        <v>151</v>
      </c>
      <c r="D683" t="s">
        <v>9</v>
      </c>
      <c r="E683" s="23">
        <v>45159</v>
      </c>
      <c r="F683">
        <v>63</v>
      </c>
      <c r="G683">
        <v>4.0999999999999996</v>
      </c>
      <c r="H683">
        <v>4</v>
      </c>
    </row>
    <row r="684" spans="1:8" x14ac:dyDescent="0.25">
      <c r="A684" t="s">
        <v>706</v>
      </c>
      <c r="B684" t="s">
        <v>17</v>
      </c>
      <c r="C684">
        <v>116</v>
      </c>
      <c r="D684" t="s">
        <v>13</v>
      </c>
      <c r="E684" s="23">
        <v>45159</v>
      </c>
      <c r="F684">
        <v>44</v>
      </c>
      <c r="G684">
        <v>3.8</v>
      </c>
      <c r="H684">
        <v>4</v>
      </c>
    </row>
    <row r="685" spans="1:8" x14ac:dyDescent="0.25">
      <c r="A685" t="s">
        <v>707</v>
      </c>
      <c r="B685" t="s">
        <v>21</v>
      </c>
      <c r="C685">
        <v>111</v>
      </c>
      <c r="D685" t="s">
        <v>13</v>
      </c>
      <c r="E685" s="23">
        <v>45161</v>
      </c>
      <c r="F685">
        <v>120</v>
      </c>
      <c r="G685">
        <v>1.8</v>
      </c>
      <c r="H685">
        <v>2</v>
      </c>
    </row>
    <row r="686" spans="1:8" x14ac:dyDescent="0.25">
      <c r="A686" t="s">
        <v>708</v>
      </c>
      <c r="B686" t="s">
        <v>8</v>
      </c>
      <c r="C686">
        <v>15</v>
      </c>
      <c r="D686" t="s">
        <v>13</v>
      </c>
      <c r="E686" s="23">
        <v>45161</v>
      </c>
      <c r="F686">
        <v>120</v>
      </c>
      <c r="G686">
        <v>4.0999999999999996</v>
      </c>
      <c r="H686">
        <v>4</v>
      </c>
    </row>
    <row r="687" spans="1:8" x14ac:dyDescent="0.25">
      <c r="A687" t="s">
        <v>709</v>
      </c>
      <c r="B687" t="s">
        <v>24</v>
      </c>
      <c r="C687">
        <v>18</v>
      </c>
      <c r="D687" t="s">
        <v>9</v>
      </c>
      <c r="E687" s="23">
        <v>45162</v>
      </c>
      <c r="F687">
        <v>40</v>
      </c>
      <c r="G687">
        <v>4.4000000000000004</v>
      </c>
      <c r="H687">
        <v>4</v>
      </c>
    </row>
    <row r="688" spans="1:8" x14ac:dyDescent="0.25">
      <c r="A688" t="s">
        <v>710</v>
      </c>
      <c r="B688" t="s">
        <v>15</v>
      </c>
      <c r="C688">
        <v>146</v>
      </c>
      <c r="D688" t="s">
        <v>11</v>
      </c>
      <c r="E688" s="23">
        <v>45162</v>
      </c>
      <c r="F688">
        <v>160</v>
      </c>
      <c r="G688">
        <v>4.0999999999999996</v>
      </c>
      <c r="H688">
        <v>4</v>
      </c>
    </row>
    <row r="689" spans="1:8" x14ac:dyDescent="0.25">
      <c r="A689" t="s">
        <v>711</v>
      </c>
      <c r="B689" t="s">
        <v>16</v>
      </c>
      <c r="C689">
        <v>73</v>
      </c>
      <c r="D689" t="s">
        <v>13</v>
      </c>
      <c r="E689" s="23">
        <v>45163</v>
      </c>
      <c r="F689">
        <v>44</v>
      </c>
      <c r="G689">
        <v>3.8</v>
      </c>
      <c r="H689">
        <v>4</v>
      </c>
    </row>
    <row r="690" spans="1:8" x14ac:dyDescent="0.25">
      <c r="A690" t="s">
        <v>712</v>
      </c>
      <c r="B690" t="s">
        <v>21</v>
      </c>
      <c r="C690">
        <v>108</v>
      </c>
      <c r="D690" t="s">
        <v>9</v>
      </c>
      <c r="E690" s="23">
        <v>45163</v>
      </c>
      <c r="F690">
        <v>80</v>
      </c>
      <c r="G690">
        <v>4.3</v>
      </c>
      <c r="H690">
        <v>4</v>
      </c>
    </row>
    <row r="691" spans="1:8" x14ac:dyDescent="0.25">
      <c r="A691" t="s">
        <v>713</v>
      </c>
      <c r="B691" t="s">
        <v>7</v>
      </c>
      <c r="C691">
        <v>52</v>
      </c>
      <c r="D691" t="s">
        <v>9</v>
      </c>
      <c r="E691" s="23">
        <v>45164</v>
      </c>
      <c r="F691">
        <v>66</v>
      </c>
      <c r="G691">
        <v>4.5</v>
      </c>
      <c r="H691">
        <v>5</v>
      </c>
    </row>
    <row r="692" spans="1:8" x14ac:dyDescent="0.25">
      <c r="A692" t="s">
        <v>714</v>
      </c>
      <c r="B692" t="s">
        <v>17</v>
      </c>
      <c r="C692">
        <v>165</v>
      </c>
      <c r="D692" t="s">
        <v>6</v>
      </c>
      <c r="E692" s="23">
        <v>45164</v>
      </c>
      <c r="F692">
        <v>82</v>
      </c>
      <c r="G692">
        <v>3.4</v>
      </c>
      <c r="H692">
        <v>3</v>
      </c>
    </row>
    <row r="693" spans="1:8" x14ac:dyDescent="0.25">
      <c r="A693" t="s">
        <v>715</v>
      </c>
      <c r="B693" t="s">
        <v>15</v>
      </c>
      <c r="C693">
        <v>104</v>
      </c>
      <c r="D693" t="s">
        <v>13</v>
      </c>
      <c r="E693" s="23">
        <v>45164</v>
      </c>
      <c r="F693">
        <v>66</v>
      </c>
      <c r="G693">
        <v>4.8</v>
      </c>
      <c r="H693">
        <v>5</v>
      </c>
    </row>
    <row r="694" spans="1:8" x14ac:dyDescent="0.25">
      <c r="A694" t="s">
        <v>716</v>
      </c>
      <c r="B694" t="s">
        <v>16</v>
      </c>
      <c r="C694">
        <v>131</v>
      </c>
      <c r="D694" t="s">
        <v>11</v>
      </c>
      <c r="E694" s="23">
        <v>45164</v>
      </c>
      <c r="F694">
        <v>92</v>
      </c>
      <c r="G694">
        <v>4.9000000000000004</v>
      </c>
      <c r="H694">
        <v>5</v>
      </c>
    </row>
    <row r="695" spans="1:8" x14ac:dyDescent="0.25">
      <c r="A695" t="s">
        <v>717</v>
      </c>
      <c r="B695" t="s">
        <v>19</v>
      </c>
      <c r="C695">
        <v>80</v>
      </c>
      <c r="D695" t="s">
        <v>6</v>
      </c>
      <c r="E695" s="23">
        <v>45165</v>
      </c>
      <c r="F695">
        <v>104</v>
      </c>
      <c r="G695">
        <v>4.7</v>
      </c>
      <c r="H695">
        <v>5</v>
      </c>
    </row>
    <row r="696" spans="1:8" x14ac:dyDescent="0.25">
      <c r="A696" t="s">
        <v>718</v>
      </c>
      <c r="B696" t="s">
        <v>8</v>
      </c>
      <c r="C696">
        <v>49</v>
      </c>
      <c r="D696" t="s">
        <v>13</v>
      </c>
      <c r="E696" s="23">
        <v>45165</v>
      </c>
      <c r="F696">
        <v>105</v>
      </c>
      <c r="G696">
        <v>3.3</v>
      </c>
      <c r="H696">
        <v>3</v>
      </c>
    </row>
    <row r="697" spans="1:8" x14ac:dyDescent="0.25">
      <c r="A697" t="s">
        <v>719</v>
      </c>
      <c r="B697" t="s">
        <v>17</v>
      </c>
      <c r="C697">
        <v>73</v>
      </c>
      <c r="D697" t="s">
        <v>13</v>
      </c>
      <c r="E697" s="23">
        <v>45165</v>
      </c>
      <c r="F697">
        <v>100</v>
      </c>
      <c r="G697">
        <v>2.8</v>
      </c>
      <c r="H697">
        <v>3</v>
      </c>
    </row>
    <row r="698" spans="1:8" x14ac:dyDescent="0.25">
      <c r="A698" t="s">
        <v>720</v>
      </c>
      <c r="B698" t="s">
        <v>15</v>
      </c>
      <c r="C698">
        <v>117</v>
      </c>
      <c r="D698" t="s">
        <v>6</v>
      </c>
      <c r="E698" s="23">
        <v>45165</v>
      </c>
      <c r="F698">
        <v>90</v>
      </c>
      <c r="G698">
        <v>4.0999999999999996</v>
      </c>
      <c r="H698">
        <v>4</v>
      </c>
    </row>
    <row r="699" spans="1:8" x14ac:dyDescent="0.25">
      <c r="A699" t="s">
        <v>721</v>
      </c>
      <c r="B699" t="s">
        <v>23</v>
      </c>
      <c r="C699">
        <v>38</v>
      </c>
      <c r="D699" t="s">
        <v>10</v>
      </c>
      <c r="E699" s="23">
        <v>45165</v>
      </c>
      <c r="F699">
        <v>110</v>
      </c>
      <c r="G699">
        <v>3.5</v>
      </c>
      <c r="H699">
        <v>4</v>
      </c>
    </row>
    <row r="700" spans="1:8" x14ac:dyDescent="0.25">
      <c r="A700" t="s">
        <v>722</v>
      </c>
      <c r="B700" t="s">
        <v>7</v>
      </c>
      <c r="C700">
        <v>109</v>
      </c>
      <c r="D700" t="s">
        <v>6</v>
      </c>
      <c r="E700" s="23">
        <v>45167</v>
      </c>
      <c r="F700">
        <v>68</v>
      </c>
      <c r="G700">
        <v>2.2999999999999998</v>
      </c>
      <c r="H700">
        <v>2</v>
      </c>
    </row>
    <row r="701" spans="1:8" x14ac:dyDescent="0.25">
      <c r="A701" t="s">
        <v>723</v>
      </c>
      <c r="B701" t="s">
        <v>8</v>
      </c>
      <c r="C701">
        <v>70</v>
      </c>
      <c r="D701" t="s">
        <v>9</v>
      </c>
      <c r="E701" s="23">
        <v>45168</v>
      </c>
      <c r="F701">
        <v>210</v>
      </c>
      <c r="G701">
        <v>4.0999999999999996</v>
      </c>
      <c r="H701">
        <v>4</v>
      </c>
    </row>
    <row r="702" spans="1:8" x14ac:dyDescent="0.25">
      <c r="A702" t="s">
        <v>724</v>
      </c>
      <c r="B702" t="s">
        <v>12</v>
      </c>
      <c r="C702">
        <v>51</v>
      </c>
      <c r="D702" t="s">
        <v>10</v>
      </c>
      <c r="E702" s="23">
        <v>45168</v>
      </c>
      <c r="F702">
        <v>111</v>
      </c>
      <c r="G702">
        <v>4.3</v>
      </c>
      <c r="H702">
        <v>4</v>
      </c>
    </row>
    <row r="703" spans="1:8" x14ac:dyDescent="0.25">
      <c r="A703" t="s">
        <v>725</v>
      </c>
      <c r="B703" t="s">
        <v>12</v>
      </c>
      <c r="C703">
        <v>100</v>
      </c>
      <c r="D703" t="s">
        <v>9</v>
      </c>
      <c r="E703" s="23">
        <v>45169</v>
      </c>
      <c r="F703">
        <v>45</v>
      </c>
      <c r="G703">
        <v>4.9000000000000004</v>
      </c>
      <c r="H703">
        <v>5</v>
      </c>
    </row>
    <row r="704" spans="1:8" x14ac:dyDescent="0.25">
      <c r="A704" t="s">
        <v>726</v>
      </c>
      <c r="B704" t="s">
        <v>14</v>
      </c>
      <c r="C704">
        <v>124</v>
      </c>
      <c r="D704" t="s">
        <v>10</v>
      </c>
      <c r="E704" s="23">
        <v>45170</v>
      </c>
      <c r="F704">
        <v>132</v>
      </c>
      <c r="G704">
        <v>4</v>
      </c>
      <c r="H704">
        <v>4</v>
      </c>
    </row>
    <row r="705" spans="1:8" x14ac:dyDescent="0.25">
      <c r="A705" t="s">
        <v>727</v>
      </c>
      <c r="B705" t="s">
        <v>20</v>
      </c>
      <c r="C705">
        <v>143</v>
      </c>
      <c r="D705" t="s">
        <v>6</v>
      </c>
      <c r="E705" s="23">
        <v>45170</v>
      </c>
      <c r="F705">
        <v>20</v>
      </c>
      <c r="G705">
        <v>4.7</v>
      </c>
      <c r="H705">
        <v>5</v>
      </c>
    </row>
    <row r="706" spans="1:8" x14ac:dyDescent="0.25">
      <c r="A706" t="s">
        <v>728</v>
      </c>
      <c r="B706" t="s">
        <v>18</v>
      </c>
      <c r="C706">
        <v>96</v>
      </c>
      <c r="D706" t="s">
        <v>13</v>
      </c>
      <c r="E706" s="23">
        <v>45170</v>
      </c>
      <c r="F706">
        <v>36</v>
      </c>
      <c r="G706">
        <v>3.4</v>
      </c>
      <c r="H706">
        <v>3</v>
      </c>
    </row>
    <row r="707" spans="1:8" x14ac:dyDescent="0.25">
      <c r="A707" t="s">
        <v>729</v>
      </c>
      <c r="B707" t="s">
        <v>17</v>
      </c>
      <c r="C707">
        <v>84</v>
      </c>
      <c r="D707" t="s">
        <v>9</v>
      </c>
      <c r="E707" s="23">
        <v>45172</v>
      </c>
      <c r="F707">
        <v>72</v>
      </c>
      <c r="G707">
        <v>4</v>
      </c>
      <c r="H707">
        <v>4</v>
      </c>
    </row>
    <row r="708" spans="1:8" x14ac:dyDescent="0.25">
      <c r="A708" t="s">
        <v>730</v>
      </c>
      <c r="B708" t="s">
        <v>22</v>
      </c>
      <c r="C708">
        <v>111</v>
      </c>
      <c r="D708" t="s">
        <v>9</v>
      </c>
      <c r="E708" s="23">
        <v>45172</v>
      </c>
      <c r="F708">
        <v>63</v>
      </c>
      <c r="G708">
        <v>4.5</v>
      </c>
      <c r="H708">
        <v>5</v>
      </c>
    </row>
    <row r="709" spans="1:8" x14ac:dyDescent="0.25">
      <c r="A709" t="s">
        <v>731</v>
      </c>
      <c r="B709" t="s">
        <v>22</v>
      </c>
      <c r="C709">
        <v>103</v>
      </c>
      <c r="D709" t="s">
        <v>10</v>
      </c>
      <c r="E709" s="23">
        <v>45173</v>
      </c>
      <c r="F709">
        <v>44</v>
      </c>
      <c r="G709">
        <v>4.5</v>
      </c>
      <c r="H709">
        <v>5</v>
      </c>
    </row>
    <row r="710" spans="1:8" x14ac:dyDescent="0.25">
      <c r="A710" t="s">
        <v>732</v>
      </c>
      <c r="B710" t="s">
        <v>20</v>
      </c>
      <c r="C710">
        <v>61</v>
      </c>
      <c r="D710" t="s">
        <v>11</v>
      </c>
      <c r="E710" s="23">
        <v>45173</v>
      </c>
      <c r="F710">
        <v>132</v>
      </c>
      <c r="G710">
        <v>4.9000000000000004</v>
      </c>
      <c r="H710">
        <v>5</v>
      </c>
    </row>
    <row r="711" spans="1:8" x14ac:dyDescent="0.25">
      <c r="A711" t="s">
        <v>733</v>
      </c>
      <c r="B711" t="s">
        <v>16</v>
      </c>
      <c r="C711">
        <v>113</v>
      </c>
      <c r="D711" t="s">
        <v>13</v>
      </c>
      <c r="E711" s="23">
        <v>45173</v>
      </c>
      <c r="F711">
        <v>46</v>
      </c>
      <c r="G711">
        <v>4.4000000000000004</v>
      </c>
      <c r="H711">
        <v>4</v>
      </c>
    </row>
    <row r="712" spans="1:8" x14ac:dyDescent="0.25">
      <c r="A712" t="s">
        <v>734</v>
      </c>
      <c r="B712" t="s">
        <v>16</v>
      </c>
      <c r="C712">
        <v>96</v>
      </c>
      <c r="D712" t="s">
        <v>13</v>
      </c>
      <c r="E712" s="23">
        <v>45173</v>
      </c>
      <c r="F712">
        <v>96</v>
      </c>
      <c r="G712">
        <v>2.9</v>
      </c>
      <c r="H712">
        <v>3</v>
      </c>
    </row>
    <row r="713" spans="1:8" x14ac:dyDescent="0.25">
      <c r="A713" t="s">
        <v>735</v>
      </c>
      <c r="B713" t="s">
        <v>24</v>
      </c>
      <c r="C713">
        <v>131</v>
      </c>
      <c r="D713" t="s">
        <v>10</v>
      </c>
      <c r="E713" s="23">
        <v>45174</v>
      </c>
      <c r="F713">
        <v>75</v>
      </c>
      <c r="G713">
        <v>4.4000000000000004</v>
      </c>
      <c r="H713">
        <v>4</v>
      </c>
    </row>
    <row r="714" spans="1:8" x14ac:dyDescent="0.25">
      <c r="A714" t="s">
        <v>736</v>
      </c>
      <c r="B714" t="s">
        <v>15</v>
      </c>
      <c r="C714">
        <v>52</v>
      </c>
      <c r="D714" t="s">
        <v>13</v>
      </c>
      <c r="E714" s="23">
        <v>45175</v>
      </c>
      <c r="F714">
        <v>88</v>
      </c>
      <c r="G714">
        <v>4.3</v>
      </c>
      <c r="H714">
        <v>4</v>
      </c>
    </row>
    <row r="715" spans="1:8" x14ac:dyDescent="0.25">
      <c r="A715" t="s">
        <v>737</v>
      </c>
      <c r="B715" t="s">
        <v>12</v>
      </c>
      <c r="C715">
        <v>100</v>
      </c>
      <c r="D715" t="s">
        <v>10</v>
      </c>
      <c r="E715" s="23">
        <v>45175</v>
      </c>
      <c r="F715">
        <v>24</v>
      </c>
      <c r="G715">
        <v>4.7</v>
      </c>
      <c r="H715">
        <v>5</v>
      </c>
    </row>
    <row r="716" spans="1:8" x14ac:dyDescent="0.25">
      <c r="A716" t="s">
        <v>738</v>
      </c>
      <c r="B716" t="s">
        <v>21</v>
      </c>
      <c r="C716">
        <v>58</v>
      </c>
      <c r="D716" t="s">
        <v>6</v>
      </c>
      <c r="E716" s="23">
        <v>45175</v>
      </c>
      <c r="F716">
        <v>96</v>
      </c>
      <c r="G716">
        <v>3.2</v>
      </c>
      <c r="H716">
        <v>3</v>
      </c>
    </row>
    <row r="717" spans="1:8" x14ac:dyDescent="0.25">
      <c r="A717" t="s">
        <v>739</v>
      </c>
      <c r="B717" t="s">
        <v>8</v>
      </c>
      <c r="C717">
        <v>144</v>
      </c>
      <c r="D717" t="s">
        <v>6</v>
      </c>
      <c r="E717" s="23">
        <v>45176</v>
      </c>
      <c r="F717">
        <v>124</v>
      </c>
      <c r="G717">
        <v>2.2999999999999998</v>
      </c>
      <c r="H717">
        <v>2</v>
      </c>
    </row>
    <row r="718" spans="1:8" x14ac:dyDescent="0.25">
      <c r="A718" t="s">
        <v>740</v>
      </c>
      <c r="B718" t="s">
        <v>21</v>
      </c>
      <c r="C718">
        <v>53</v>
      </c>
      <c r="D718" t="s">
        <v>11</v>
      </c>
      <c r="E718" s="23">
        <v>45177</v>
      </c>
      <c r="F718">
        <v>130</v>
      </c>
      <c r="G718">
        <v>3.6</v>
      </c>
      <c r="H718">
        <v>4</v>
      </c>
    </row>
    <row r="719" spans="1:8" x14ac:dyDescent="0.25">
      <c r="A719" t="s">
        <v>741</v>
      </c>
      <c r="B719" t="s">
        <v>16</v>
      </c>
      <c r="C719">
        <v>97</v>
      </c>
      <c r="D719" t="s">
        <v>9</v>
      </c>
      <c r="E719" s="23">
        <v>45177</v>
      </c>
      <c r="F719">
        <v>45</v>
      </c>
      <c r="G719">
        <v>4.5999999999999996</v>
      </c>
      <c r="H719">
        <v>5</v>
      </c>
    </row>
    <row r="720" spans="1:8" x14ac:dyDescent="0.25">
      <c r="A720" t="s">
        <v>742</v>
      </c>
      <c r="B720" t="s">
        <v>23</v>
      </c>
      <c r="C720">
        <v>64</v>
      </c>
      <c r="D720" t="s">
        <v>6</v>
      </c>
      <c r="E720" s="23">
        <v>45177</v>
      </c>
      <c r="F720">
        <v>66</v>
      </c>
      <c r="G720">
        <v>4</v>
      </c>
      <c r="H720">
        <v>4</v>
      </c>
    </row>
    <row r="721" spans="1:8" x14ac:dyDescent="0.25">
      <c r="A721" t="s">
        <v>743</v>
      </c>
      <c r="B721" t="s">
        <v>20</v>
      </c>
      <c r="C721">
        <v>106</v>
      </c>
      <c r="D721" t="s">
        <v>10</v>
      </c>
      <c r="E721" s="23">
        <v>45177</v>
      </c>
      <c r="F721">
        <v>58</v>
      </c>
      <c r="G721">
        <v>4.7</v>
      </c>
      <c r="H721">
        <v>5</v>
      </c>
    </row>
    <row r="722" spans="1:8" x14ac:dyDescent="0.25">
      <c r="A722" t="s">
        <v>744</v>
      </c>
      <c r="B722" t="s">
        <v>17</v>
      </c>
      <c r="C722">
        <v>36</v>
      </c>
      <c r="D722" t="s">
        <v>6</v>
      </c>
      <c r="E722" s="23">
        <v>45178</v>
      </c>
      <c r="F722">
        <v>152</v>
      </c>
      <c r="G722">
        <v>4.3</v>
      </c>
      <c r="H722">
        <v>4</v>
      </c>
    </row>
    <row r="723" spans="1:8" x14ac:dyDescent="0.25">
      <c r="A723" t="s">
        <v>745</v>
      </c>
      <c r="B723" t="s">
        <v>8</v>
      </c>
      <c r="C723">
        <v>74</v>
      </c>
      <c r="D723" t="s">
        <v>13</v>
      </c>
      <c r="E723" s="23">
        <v>45178</v>
      </c>
      <c r="F723">
        <v>75</v>
      </c>
      <c r="G723">
        <v>2.8</v>
      </c>
      <c r="H723">
        <v>3</v>
      </c>
    </row>
    <row r="724" spans="1:8" x14ac:dyDescent="0.25">
      <c r="A724" t="s">
        <v>746</v>
      </c>
      <c r="B724" t="s">
        <v>7</v>
      </c>
      <c r="C724">
        <v>143</v>
      </c>
      <c r="D724" t="s">
        <v>9</v>
      </c>
      <c r="E724" s="23">
        <v>45178</v>
      </c>
      <c r="F724">
        <v>78</v>
      </c>
      <c r="G724">
        <v>4</v>
      </c>
      <c r="H724">
        <v>4</v>
      </c>
    </row>
    <row r="725" spans="1:8" x14ac:dyDescent="0.25">
      <c r="A725" t="s">
        <v>747</v>
      </c>
      <c r="B725" t="s">
        <v>20</v>
      </c>
      <c r="C725">
        <v>94</v>
      </c>
      <c r="D725" t="s">
        <v>11</v>
      </c>
      <c r="E725" s="23">
        <v>45178</v>
      </c>
      <c r="F725">
        <v>69</v>
      </c>
      <c r="G725">
        <v>3.9</v>
      </c>
      <c r="H725">
        <v>4</v>
      </c>
    </row>
    <row r="726" spans="1:8" x14ac:dyDescent="0.25">
      <c r="A726" t="s">
        <v>748</v>
      </c>
      <c r="B726" t="s">
        <v>19</v>
      </c>
      <c r="C726">
        <v>124</v>
      </c>
      <c r="D726" t="s">
        <v>10</v>
      </c>
      <c r="E726" s="23">
        <v>45179</v>
      </c>
      <c r="F726">
        <v>46</v>
      </c>
      <c r="G726">
        <v>3.1</v>
      </c>
      <c r="H726">
        <v>3</v>
      </c>
    </row>
    <row r="727" spans="1:8" x14ac:dyDescent="0.25">
      <c r="A727" t="s">
        <v>749</v>
      </c>
      <c r="B727" t="s">
        <v>17</v>
      </c>
      <c r="C727">
        <v>156</v>
      </c>
      <c r="D727" t="s">
        <v>6</v>
      </c>
      <c r="E727" s="23">
        <v>45179</v>
      </c>
      <c r="F727">
        <v>64</v>
      </c>
      <c r="G727">
        <v>2.7</v>
      </c>
      <c r="H727">
        <v>3</v>
      </c>
    </row>
    <row r="728" spans="1:8" x14ac:dyDescent="0.25">
      <c r="A728" t="s">
        <v>750</v>
      </c>
      <c r="B728" t="s">
        <v>18</v>
      </c>
      <c r="C728">
        <v>107</v>
      </c>
      <c r="D728" t="s">
        <v>9</v>
      </c>
      <c r="E728" s="23">
        <v>45179</v>
      </c>
      <c r="F728">
        <v>38</v>
      </c>
      <c r="G728">
        <v>4.7</v>
      </c>
      <c r="H728">
        <v>5</v>
      </c>
    </row>
    <row r="729" spans="1:8" x14ac:dyDescent="0.25">
      <c r="A729" t="s">
        <v>751</v>
      </c>
      <c r="B729" t="s">
        <v>20</v>
      </c>
      <c r="C729">
        <v>58</v>
      </c>
      <c r="D729" t="s">
        <v>9</v>
      </c>
      <c r="E729" s="23">
        <v>45181</v>
      </c>
      <c r="F729">
        <v>90</v>
      </c>
      <c r="G729">
        <v>4.3</v>
      </c>
      <c r="H729">
        <v>4</v>
      </c>
    </row>
    <row r="730" spans="1:8" x14ac:dyDescent="0.25">
      <c r="A730" t="s">
        <v>752</v>
      </c>
      <c r="B730" t="s">
        <v>14</v>
      </c>
      <c r="C730">
        <v>66</v>
      </c>
      <c r="D730" t="s">
        <v>9</v>
      </c>
      <c r="E730" s="23">
        <v>45181</v>
      </c>
      <c r="F730">
        <v>32</v>
      </c>
      <c r="G730">
        <v>3.8</v>
      </c>
      <c r="H730">
        <v>4</v>
      </c>
    </row>
    <row r="731" spans="1:8" x14ac:dyDescent="0.25">
      <c r="A731" t="s">
        <v>753</v>
      </c>
      <c r="B731" t="s">
        <v>24</v>
      </c>
      <c r="C731">
        <v>75</v>
      </c>
      <c r="D731" t="s">
        <v>6</v>
      </c>
      <c r="E731" s="23">
        <v>45181</v>
      </c>
      <c r="F731">
        <v>120</v>
      </c>
      <c r="G731">
        <v>4.4000000000000004</v>
      </c>
      <c r="H731">
        <v>4</v>
      </c>
    </row>
    <row r="732" spans="1:8" x14ac:dyDescent="0.25">
      <c r="A732" t="s">
        <v>754</v>
      </c>
      <c r="B732" t="s">
        <v>18</v>
      </c>
      <c r="C732">
        <v>8</v>
      </c>
      <c r="D732" t="s">
        <v>9</v>
      </c>
      <c r="E732" s="23">
        <v>45181</v>
      </c>
      <c r="F732">
        <v>31</v>
      </c>
      <c r="G732">
        <v>3.9</v>
      </c>
      <c r="H732">
        <v>4</v>
      </c>
    </row>
    <row r="733" spans="1:8" x14ac:dyDescent="0.25">
      <c r="A733" t="s">
        <v>755</v>
      </c>
      <c r="B733" t="s">
        <v>23</v>
      </c>
      <c r="C733">
        <v>76</v>
      </c>
      <c r="D733" t="s">
        <v>6</v>
      </c>
      <c r="E733" s="23">
        <v>45182</v>
      </c>
      <c r="F733">
        <v>108</v>
      </c>
      <c r="G733">
        <v>4.9000000000000004</v>
      </c>
      <c r="H733">
        <v>5</v>
      </c>
    </row>
    <row r="734" spans="1:8" x14ac:dyDescent="0.25">
      <c r="A734" t="s">
        <v>756</v>
      </c>
      <c r="B734" t="s">
        <v>20</v>
      </c>
      <c r="C734">
        <v>110</v>
      </c>
      <c r="D734" t="s">
        <v>6</v>
      </c>
      <c r="E734" s="23">
        <v>45182</v>
      </c>
      <c r="F734">
        <v>180</v>
      </c>
      <c r="G734">
        <v>4.2</v>
      </c>
      <c r="H734">
        <v>4</v>
      </c>
    </row>
    <row r="735" spans="1:8" x14ac:dyDescent="0.25">
      <c r="A735" t="s">
        <v>757</v>
      </c>
      <c r="B735" t="s">
        <v>14</v>
      </c>
      <c r="C735">
        <v>50</v>
      </c>
      <c r="D735" t="s">
        <v>11</v>
      </c>
      <c r="E735" s="23">
        <v>45183</v>
      </c>
      <c r="F735">
        <v>124</v>
      </c>
      <c r="G735">
        <v>4</v>
      </c>
      <c r="H735">
        <v>4</v>
      </c>
    </row>
    <row r="736" spans="1:8" x14ac:dyDescent="0.25">
      <c r="A736" t="s">
        <v>758</v>
      </c>
      <c r="B736" t="s">
        <v>15</v>
      </c>
      <c r="C736">
        <v>78</v>
      </c>
      <c r="D736" t="s">
        <v>11</v>
      </c>
      <c r="E736" s="23">
        <v>45183</v>
      </c>
      <c r="F736">
        <v>23</v>
      </c>
      <c r="G736">
        <v>4.2</v>
      </c>
      <c r="H736">
        <v>4</v>
      </c>
    </row>
    <row r="737" spans="1:8" x14ac:dyDescent="0.25">
      <c r="A737" t="s">
        <v>759</v>
      </c>
      <c r="B737" t="s">
        <v>16</v>
      </c>
      <c r="C737">
        <v>59</v>
      </c>
      <c r="D737" t="s">
        <v>10</v>
      </c>
      <c r="E737" s="23">
        <v>45184</v>
      </c>
      <c r="F737">
        <v>24</v>
      </c>
      <c r="G737">
        <v>4.8</v>
      </c>
      <c r="H737">
        <v>5</v>
      </c>
    </row>
    <row r="738" spans="1:8" x14ac:dyDescent="0.25">
      <c r="A738" t="s">
        <v>760</v>
      </c>
      <c r="B738" t="s">
        <v>15</v>
      </c>
      <c r="C738">
        <v>126</v>
      </c>
      <c r="D738" t="s">
        <v>9</v>
      </c>
      <c r="E738" s="23">
        <v>45185</v>
      </c>
      <c r="F738">
        <v>52</v>
      </c>
      <c r="G738">
        <v>1.1000000000000001</v>
      </c>
      <c r="H738">
        <v>1</v>
      </c>
    </row>
    <row r="739" spans="1:8" x14ac:dyDescent="0.25">
      <c r="A739" t="s">
        <v>761</v>
      </c>
      <c r="B739" t="s">
        <v>23</v>
      </c>
      <c r="C739">
        <v>43</v>
      </c>
      <c r="D739" t="s">
        <v>10</v>
      </c>
      <c r="E739" s="23">
        <v>45186</v>
      </c>
      <c r="F739">
        <v>168</v>
      </c>
      <c r="G739">
        <v>4</v>
      </c>
      <c r="H739">
        <v>4</v>
      </c>
    </row>
    <row r="740" spans="1:8" x14ac:dyDescent="0.25">
      <c r="A740" t="s">
        <v>762</v>
      </c>
      <c r="B740" t="s">
        <v>17</v>
      </c>
      <c r="C740">
        <v>79</v>
      </c>
      <c r="D740" t="s">
        <v>6</v>
      </c>
      <c r="E740" s="23">
        <v>45188</v>
      </c>
      <c r="F740">
        <v>125</v>
      </c>
      <c r="G740">
        <v>4.8</v>
      </c>
      <c r="H740">
        <v>5</v>
      </c>
    </row>
    <row r="741" spans="1:8" x14ac:dyDescent="0.25">
      <c r="A741" t="s">
        <v>763</v>
      </c>
      <c r="B741" t="s">
        <v>20</v>
      </c>
      <c r="C741">
        <v>71</v>
      </c>
      <c r="D741" t="s">
        <v>10</v>
      </c>
      <c r="E741" s="23">
        <v>45189</v>
      </c>
      <c r="F741">
        <v>50</v>
      </c>
      <c r="G741">
        <v>4.2</v>
      </c>
      <c r="H741">
        <v>4</v>
      </c>
    </row>
    <row r="742" spans="1:8" x14ac:dyDescent="0.25">
      <c r="A742" t="s">
        <v>764</v>
      </c>
      <c r="B742" t="s">
        <v>22</v>
      </c>
      <c r="C742">
        <v>94</v>
      </c>
      <c r="D742" t="s">
        <v>9</v>
      </c>
      <c r="E742" s="23">
        <v>45190</v>
      </c>
      <c r="F742">
        <v>220</v>
      </c>
      <c r="G742">
        <v>4.5999999999999996</v>
      </c>
      <c r="H742">
        <v>5</v>
      </c>
    </row>
    <row r="743" spans="1:8" x14ac:dyDescent="0.25">
      <c r="A743" t="s">
        <v>765</v>
      </c>
      <c r="B743" t="s">
        <v>18</v>
      </c>
      <c r="C743">
        <v>108</v>
      </c>
      <c r="D743" t="s">
        <v>10</v>
      </c>
      <c r="E743" s="23">
        <v>45190</v>
      </c>
      <c r="F743">
        <v>180</v>
      </c>
      <c r="G743">
        <v>4</v>
      </c>
      <c r="H743">
        <v>4</v>
      </c>
    </row>
    <row r="744" spans="1:8" x14ac:dyDescent="0.25">
      <c r="A744" t="s">
        <v>766</v>
      </c>
      <c r="B744" t="s">
        <v>23</v>
      </c>
      <c r="C744">
        <v>76</v>
      </c>
      <c r="D744" t="s">
        <v>9</v>
      </c>
      <c r="E744" s="23">
        <v>45190</v>
      </c>
      <c r="F744">
        <v>110</v>
      </c>
      <c r="G744">
        <v>3.9</v>
      </c>
      <c r="H744">
        <v>4</v>
      </c>
    </row>
    <row r="745" spans="1:8" x14ac:dyDescent="0.25">
      <c r="A745" t="s">
        <v>767</v>
      </c>
      <c r="B745" t="s">
        <v>16</v>
      </c>
      <c r="C745">
        <v>136</v>
      </c>
      <c r="D745" t="s">
        <v>10</v>
      </c>
      <c r="E745" s="23">
        <v>45190</v>
      </c>
      <c r="F745">
        <v>36</v>
      </c>
      <c r="G745">
        <v>2.8</v>
      </c>
      <c r="H745">
        <v>3</v>
      </c>
    </row>
    <row r="746" spans="1:8" x14ac:dyDescent="0.25">
      <c r="A746" t="s">
        <v>768</v>
      </c>
      <c r="B746" t="s">
        <v>12</v>
      </c>
      <c r="C746">
        <v>129</v>
      </c>
      <c r="D746" t="s">
        <v>11</v>
      </c>
      <c r="E746" s="23">
        <v>45191</v>
      </c>
      <c r="F746">
        <v>93</v>
      </c>
      <c r="G746">
        <v>4.7</v>
      </c>
      <c r="H746">
        <v>5</v>
      </c>
    </row>
    <row r="747" spans="1:8" x14ac:dyDescent="0.25">
      <c r="A747" t="s">
        <v>769</v>
      </c>
      <c r="B747" t="s">
        <v>18</v>
      </c>
      <c r="C747">
        <v>120</v>
      </c>
      <c r="D747" t="s">
        <v>10</v>
      </c>
      <c r="E747" s="23">
        <v>45191</v>
      </c>
      <c r="F747">
        <v>38</v>
      </c>
      <c r="G747">
        <v>4.2</v>
      </c>
      <c r="H747">
        <v>4</v>
      </c>
    </row>
    <row r="748" spans="1:8" x14ac:dyDescent="0.25">
      <c r="A748" t="s">
        <v>770</v>
      </c>
      <c r="B748" t="s">
        <v>23</v>
      </c>
      <c r="C748">
        <v>108</v>
      </c>
      <c r="D748" t="s">
        <v>11</v>
      </c>
      <c r="E748" s="23">
        <v>45192</v>
      </c>
      <c r="F748">
        <v>66</v>
      </c>
      <c r="G748">
        <v>3.9</v>
      </c>
      <c r="H748">
        <v>4</v>
      </c>
    </row>
    <row r="749" spans="1:8" x14ac:dyDescent="0.25">
      <c r="A749" t="s">
        <v>771</v>
      </c>
      <c r="B749" t="s">
        <v>15</v>
      </c>
      <c r="C749">
        <v>79</v>
      </c>
      <c r="D749" t="s">
        <v>10</v>
      </c>
      <c r="E749" s="23">
        <v>45192</v>
      </c>
      <c r="F749">
        <v>215</v>
      </c>
      <c r="G749">
        <v>4.5999999999999996</v>
      </c>
      <c r="H749">
        <v>5</v>
      </c>
    </row>
    <row r="750" spans="1:8" x14ac:dyDescent="0.25">
      <c r="A750" t="s">
        <v>772</v>
      </c>
      <c r="B750" t="s">
        <v>15</v>
      </c>
      <c r="C750">
        <v>45</v>
      </c>
      <c r="D750" t="s">
        <v>11</v>
      </c>
      <c r="E750" s="23">
        <v>45192</v>
      </c>
      <c r="F750">
        <v>92</v>
      </c>
      <c r="G750">
        <v>4.3</v>
      </c>
      <c r="H750">
        <v>4</v>
      </c>
    </row>
    <row r="751" spans="1:8" x14ac:dyDescent="0.25">
      <c r="A751" t="s">
        <v>773</v>
      </c>
      <c r="B751" t="s">
        <v>8</v>
      </c>
      <c r="C751">
        <v>96</v>
      </c>
      <c r="D751" t="s">
        <v>10</v>
      </c>
      <c r="E751" s="23">
        <v>45192</v>
      </c>
      <c r="F751">
        <v>80</v>
      </c>
      <c r="G751">
        <v>3.6</v>
      </c>
      <c r="H751">
        <v>4</v>
      </c>
    </row>
    <row r="752" spans="1:8" x14ac:dyDescent="0.25">
      <c r="A752" t="s">
        <v>774</v>
      </c>
      <c r="B752" t="s">
        <v>8</v>
      </c>
      <c r="C752">
        <v>81</v>
      </c>
      <c r="D752" t="s">
        <v>10</v>
      </c>
      <c r="E752" s="23">
        <v>45193</v>
      </c>
      <c r="F752">
        <v>123</v>
      </c>
      <c r="G752">
        <v>4.9000000000000004</v>
      </c>
      <c r="H752">
        <v>5</v>
      </c>
    </row>
    <row r="753" spans="1:8" x14ac:dyDescent="0.25">
      <c r="A753" t="s">
        <v>775</v>
      </c>
      <c r="B753" t="s">
        <v>16</v>
      </c>
      <c r="C753">
        <v>95</v>
      </c>
      <c r="D753" t="s">
        <v>13</v>
      </c>
      <c r="E753" s="23">
        <v>45193</v>
      </c>
      <c r="F753">
        <v>23</v>
      </c>
      <c r="G753">
        <v>2.4</v>
      </c>
      <c r="H753">
        <v>2</v>
      </c>
    </row>
    <row r="754" spans="1:8" x14ac:dyDescent="0.25">
      <c r="A754" t="s">
        <v>776</v>
      </c>
      <c r="B754" t="s">
        <v>19</v>
      </c>
      <c r="C754">
        <v>159</v>
      </c>
      <c r="D754" t="s">
        <v>9</v>
      </c>
      <c r="E754" s="23">
        <v>45193</v>
      </c>
      <c r="F754">
        <v>63</v>
      </c>
      <c r="G754">
        <v>4.2</v>
      </c>
      <c r="H754">
        <v>4</v>
      </c>
    </row>
    <row r="755" spans="1:8" x14ac:dyDescent="0.25">
      <c r="A755" t="s">
        <v>777</v>
      </c>
      <c r="B755" t="s">
        <v>5</v>
      </c>
      <c r="C755">
        <v>109</v>
      </c>
      <c r="D755" t="s">
        <v>6</v>
      </c>
      <c r="E755" s="23">
        <v>45193</v>
      </c>
      <c r="F755">
        <v>52</v>
      </c>
      <c r="G755">
        <v>3.9</v>
      </c>
      <c r="H755">
        <v>4</v>
      </c>
    </row>
    <row r="756" spans="1:8" x14ac:dyDescent="0.25">
      <c r="A756" t="s">
        <v>778</v>
      </c>
      <c r="B756" t="s">
        <v>15</v>
      </c>
      <c r="C756">
        <v>107</v>
      </c>
      <c r="D756" t="s">
        <v>6</v>
      </c>
      <c r="E756" s="23">
        <v>45193</v>
      </c>
      <c r="F756">
        <v>60</v>
      </c>
      <c r="G756">
        <v>4.2</v>
      </c>
      <c r="H756">
        <v>4</v>
      </c>
    </row>
    <row r="757" spans="1:8" x14ac:dyDescent="0.25">
      <c r="A757" t="s">
        <v>779</v>
      </c>
      <c r="B757" t="s">
        <v>8</v>
      </c>
      <c r="C757">
        <v>67</v>
      </c>
      <c r="D757" t="s">
        <v>11</v>
      </c>
      <c r="E757" s="23">
        <v>45194</v>
      </c>
      <c r="F757">
        <v>87</v>
      </c>
      <c r="G757">
        <v>3.9</v>
      </c>
      <c r="H757">
        <v>4</v>
      </c>
    </row>
    <row r="758" spans="1:8" x14ac:dyDescent="0.25">
      <c r="A758" t="s">
        <v>780</v>
      </c>
      <c r="B758" t="s">
        <v>24</v>
      </c>
      <c r="C758">
        <v>96</v>
      </c>
      <c r="D758" t="s">
        <v>10</v>
      </c>
      <c r="E758" s="23">
        <v>45195</v>
      </c>
      <c r="F758">
        <v>42</v>
      </c>
      <c r="G758">
        <v>4.5</v>
      </c>
      <c r="H758">
        <v>5</v>
      </c>
    </row>
    <row r="759" spans="1:8" x14ac:dyDescent="0.25">
      <c r="A759" t="s">
        <v>781</v>
      </c>
      <c r="B759" t="s">
        <v>7</v>
      </c>
      <c r="C759">
        <v>142</v>
      </c>
      <c r="D759" t="s">
        <v>9</v>
      </c>
      <c r="E759" s="23">
        <v>45196</v>
      </c>
      <c r="F759">
        <v>37</v>
      </c>
      <c r="G759">
        <v>3.8</v>
      </c>
      <c r="H759">
        <v>4</v>
      </c>
    </row>
    <row r="760" spans="1:8" x14ac:dyDescent="0.25">
      <c r="A760" t="s">
        <v>782</v>
      </c>
      <c r="B760" t="s">
        <v>7</v>
      </c>
      <c r="C760">
        <v>71</v>
      </c>
      <c r="D760" t="s">
        <v>13</v>
      </c>
      <c r="E760" s="23">
        <v>45196</v>
      </c>
      <c r="F760">
        <v>135</v>
      </c>
      <c r="G760">
        <v>3.9</v>
      </c>
      <c r="H760">
        <v>4</v>
      </c>
    </row>
    <row r="761" spans="1:8" x14ac:dyDescent="0.25">
      <c r="A761" t="s">
        <v>783</v>
      </c>
      <c r="B761" t="s">
        <v>24</v>
      </c>
      <c r="C761">
        <v>152</v>
      </c>
      <c r="D761" t="s">
        <v>13</v>
      </c>
      <c r="E761" s="23">
        <v>45196</v>
      </c>
      <c r="F761">
        <v>88</v>
      </c>
      <c r="G761">
        <v>4.7</v>
      </c>
      <c r="H761">
        <v>5</v>
      </c>
    </row>
    <row r="762" spans="1:8" x14ac:dyDescent="0.25">
      <c r="A762" t="s">
        <v>784</v>
      </c>
      <c r="B762" t="s">
        <v>17</v>
      </c>
      <c r="C762">
        <v>108</v>
      </c>
      <c r="D762" t="s">
        <v>9</v>
      </c>
      <c r="E762" s="23">
        <v>45196</v>
      </c>
      <c r="F762">
        <v>190</v>
      </c>
      <c r="G762">
        <v>3.2</v>
      </c>
      <c r="H762">
        <v>3</v>
      </c>
    </row>
    <row r="763" spans="1:8" x14ac:dyDescent="0.25">
      <c r="A763" t="s">
        <v>785</v>
      </c>
      <c r="B763" t="s">
        <v>17</v>
      </c>
      <c r="C763">
        <v>156</v>
      </c>
      <c r="D763" t="s">
        <v>13</v>
      </c>
      <c r="E763" s="23">
        <v>45196</v>
      </c>
      <c r="F763">
        <v>81</v>
      </c>
      <c r="G763">
        <v>5</v>
      </c>
      <c r="H763">
        <v>5</v>
      </c>
    </row>
    <row r="764" spans="1:8" x14ac:dyDescent="0.25">
      <c r="A764" t="s">
        <v>786</v>
      </c>
      <c r="B764" t="s">
        <v>7</v>
      </c>
      <c r="C764">
        <v>126</v>
      </c>
      <c r="D764" t="s">
        <v>9</v>
      </c>
      <c r="E764" s="23">
        <v>45196</v>
      </c>
      <c r="F764">
        <v>44</v>
      </c>
      <c r="G764">
        <v>3.7</v>
      </c>
      <c r="H764">
        <v>4</v>
      </c>
    </row>
    <row r="765" spans="1:8" x14ac:dyDescent="0.25">
      <c r="A765" t="s">
        <v>787</v>
      </c>
      <c r="B765" t="s">
        <v>23</v>
      </c>
      <c r="C765">
        <v>135</v>
      </c>
      <c r="D765" t="s">
        <v>13</v>
      </c>
      <c r="E765" s="23">
        <v>45197</v>
      </c>
      <c r="F765">
        <v>92</v>
      </c>
      <c r="G765">
        <v>3.9</v>
      </c>
      <c r="H765">
        <v>4</v>
      </c>
    </row>
    <row r="766" spans="1:8" x14ac:dyDescent="0.25">
      <c r="A766" t="s">
        <v>788</v>
      </c>
      <c r="B766" t="s">
        <v>7</v>
      </c>
      <c r="C766">
        <v>110</v>
      </c>
      <c r="D766" t="s">
        <v>10</v>
      </c>
      <c r="E766" s="23">
        <v>45198</v>
      </c>
      <c r="F766">
        <v>90</v>
      </c>
      <c r="G766">
        <v>3.1</v>
      </c>
      <c r="H766">
        <v>3</v>
      </c>
    </row>
    <row r="767" spans="1:8" x14ac:dyDescent="0.25">
      <c r="A767" t="s">
        <v>789</v>
      </c>
      <c r="B767" t="s">
        <v>19</v>
      </c>
      <c r="C767">
        <v>64</v>
      </c>
      <c r="D767" t="s">
        <v>13</v>
      </c>
      <c r="E767" s="23">
        <v>45198</v>
      </c>
      <c r="F767">
        <v>112</v>
      </c>
      <c r="G767">
        <v>2</v>
      </c>
      <c r="H767">
        <v>2</v>
      </c>
    </row>
    <row r="768" spans="1:8" x14ac:dyDescent="0.25">
      <c r="A768" t="s">
        <v>790</v>
      </c>
      <c r="B768" t="s">
        <v>22</v>
      </c>
      <c r="C768">
        <v>127</v>
      </c>
      <c r="D768" t="s">
        <v>9</v>
      </c>
      <c r="E768" s="23">
        <v>45198</v>
      </c>
      <c r="F768">
        <v>112</v>
      </c>
      <c r="G768">
        <v>4.5999999999999996</v>
      </c>
      <c r="H768">
        <v>5</v>
      </c>
    </row>
    <row r="769" spans="1:8" x14ac:dyDescent="0.25">
      <c r="A769" t="s">
        <v>791</v>
      </c>
      <c r="B769" t="s">
        <v>5</v>
      </c>
      <c r="C769">
        <v>124</v>
      </c>
      <c r="D769" t="s">
        <v>11</v>
      </c>
      <c r="E769" s="23">
        <v>45198</v>
      </c>
      <c r="F769">
        <v>48</v>
      </c>
      <c r="G769">
        <v>3.7</v>
      </c>
      <c r="H769">
        <v>4</v>
      </c>
    </row>
    <row r="770" spans="1:8" x14ac:dyDescent="0.25">
      <c r="A770" t="s">
        <v>792</v>
      </c>
      <c r="B770" t="s">
        <v>19</v>
      </c>
      <c r="C770">
        <v>125</v>
      </c>
      <c r="D770" t="s">
        <v>9</v>
      </c>
      <c r="E770" s="23">
        <v>45198</v>
      </c>
      <c r="F770">
        <v>116</v>
      </c>
      <c r="G770">
        <v>4.4000000000000004</v>
      </c>
      <c r="H770">
        <v>4</v>
      </c>
    </row>
    <row r="771" spans="1:8" x14ac:dyDescent="0.25">
      <c r="A771" t="s">
        <v>793</v>
      </c>
      <c r="B771" t="s">
        <v>12</v>
      </c>
      <c r="C771">
        <v>70</v>
      </c>
      <c r="D771" t="s">
        <v>9</v>
      </c>
      <c r="E771" s="23">
        <v>45198</v>
      </c>
      <c r="F771">
        <v>29</v>
      </c>
      <c r="G771">
        <v>2.1</v>
      </c>
      <c r="H771">
        <v>2</v>
      </c>
    </row>
    <row r="772" spans="1:8" x14ac:dyDescent="0.25">
      <c r="A772" t="s">
        <v>794</v>
      </c>
      <c r="B772" t="s">
        <v>22</v>
      </c>
      <c r="C772">
        <v>93</v>
      </c>
      <c r="D772" t="s">
        <v>13</v>
      </c>
      <c r="E772" s="23">
        <v>45199</v>
      </c>
      <c r="F772">
        <v>170</v>
      </c>
      <c r="G772">
        <v>2.2000000000000002</v>
      </c>
      <c r="H772">
        <v>2</v>
      </c>
    </row>
    <row r="773" spans="1:8" x14ac:dyDescent="0.25">
      <c r="A773" t="s">
        <v>795</v>
      </c>
      <c r="B773" t="s">
        <v>12</v>
      </c>
      <c r="C773">
        <v>120</v>
      </c>
      <c r="D773" t="s">
        <v>6</v>
      </c>
      <c r="E773" s="23">
        <v>45199</v>
      </c>
      <c r="F773">
        <v>68</v>
      </c>
      <c r="G773">
        <v>3.4</v>
      </c>
      <c r="H773">
        <v>3</v>
      </c>
    </row>
    <row r="774" spans="1:8" x14ac:dyDescent="0.25">
      <c r="A774" t="s">
        <v>796</v>
      </c>
      <c r="B774" t="s">
        <v>8</v>
      </c>
      <c r="C774">
        <v>96</v>
      </c>
      <c r="D774" t="s">
        <v>10</v>
      </c>
      <c r="E774" s="23">
        <v>45199</v>
      </c>
      <c r="F774">
        <v>195</v>
      </c>
      <c r="G774">
        <v>2.7</v>
      </c>
      <c r="H774">
        <v>3</v>
      </c>
    </row>
    <row r="775" spans="1:8" x14ac:dyDescent="0.25">
      <c r="A775" t="s">
        <v>797</v>
      </c>
      <c r="B775" t="s">
        <v>21</v>
      </c>
      <c r="C775">
        <v>67</v>
      </c>
      <c r="D775" t="s">
        <v>10</v>
      </c>
      <c r="E775" s="23">
        <v>45199</v>
      </c>
      <c r="F775">
        <v>96</v>
      </c>
      <c r="G775">
        <v>3.7</v>
      </c>
      <c r="H775">
        <v>4</v>
      </c>
    </row>
    <row r="776" spans="1:8" x14ac:dyDescent="0.25">
      <c r="A776" t="s">
        <v>798</v>
      </c>
      <c r="B776" t="s">
        <v>19</v>
      </c>
      <c r="C776">
        <v>119</v>
      </c>
      <c r="D776" t="s">
        <v>10</v>
      </c>
      <c r="E776" s="23">
        <v>45199</v>
      </c>
      <c r="F776">
        <v>96</v>
      </c>
      <c r="G776">
        <v>3.1</v>
      </c>
      <c r="H776">
        <v>3</v>
      </c>
    </row>
    <row r="777" spans="1:8" x14ac:dyDescent="0.25">
      <c r="A777" t="s">
        <v>799</v>
      </c>
      <c r="B777" t="s">
        <v>5</v>
      </c>
      <c r="C777">
        <v>61</v>
      </c>
      <c r="D777" t="s">
        <v>11</v>
      </c>
      <c r="E777" s="23">
        <v>45199</v>
      </c>
      <c r="F777">
        <v>117</v>
      </c>
      <c r="G777">
        <v>4.0999999999999996</v>
      </c>
      <c r="H777">
        <v>4</v>
      </c>
    </row>
    <row r="778" spans="1:8" x14ac:dyDescent="0.25">
      <c r="A778" t="s">
        <v>800</v>
      </c>
      <c r="B778" t="s">
        <v>8</v>
      </c>
      <c r="C778">
        <v>29</v>
      </c>
      <c r="D778" t="s">
        <v>13</v>
      </c>
      <c r="E778" s="23">
        <v>45199</v>
      </c>
      <c r="F778">
        <v>80</v>
      </c>
      <c r="G778">
        <v>4.8</v>
      </c>
      <c r="H778">
        <v>5</v>
      </c>
    </row>
    <row r="779" spans="1:8" x14ac:dyDescent="0.25">
      <c r="A779" t="s">
        <v>801</v>
      </c>
      <c r="B779" t="s">
        <v>24</v>
      </c>
      <c r="C779">
        <v>134</v>
      </c>
      <c r="D779" t="s">
        <v>6</v>
      </c>
      <c r="E779" s="23">
        <v>45199</v>
      </c>
      <c r="F779">
        <v>117</v>
      </c>
      <c r="G779">
        <v>4</v>
      </c>
      <c r="H779">
        <v>4</v>
      </c>
    </row>
    <row r="780" spans="1:8" x14ac:dyDescent="0.25">
      <c r="A780" t="s">
        <v>802</v>
      </c>
      <c r="B780" t="s">
        <v>7</v>
      </c>
      <c r="C780">
        <v>113</v>
      </c>
      <c r="D780" t="s">
        <v>10</v>
      </c>
      <c r="E780" s="23">
        <v>45200</v>
      </c>
      <c r="F780">
        <v>40</v>
      </c>
      <c r="G780">
        <v>3</v>
      </c>
      <c r="H780">
        <v>3</v>
      </c>
    </row>
    <row r="781" spans="1:8" x14ac:dyDescent="0.25">
      <c r="A781" t="s">
        <v>803</v>
      </c>
      <c r="B781" t="s">
        <v>17</v>
      </c>
      <c r="C781">
        <v>12</v>
      </c>
      <c r="D781" t="s">
        <v>6</v>
      </c>
      <c r="E781" s="23">
        <v>45200</v>
      </c>
      <c r="F781">
        <v>117</v>
      </c>
      <c r="G781">
        <v>4.8</v>
      </c>
      <c r="H781">
        <v>5</v>
      </c>
    </row>
    <row r="782" spans="1:8" x14ac:dyDescent="0.25">
      <c r="A782" t="s">
        <v>804</v>
      </c>
      <c r="B782" t="s">
        <v>14</v>
      </c>
      <c r="C782">
        <v>78</v>
      </c>
      <c r="D782" t="s">
        <v>13</v>
      </c>
      <c r="E782" s="23">
        <v>45200</v>
      </c>
      <c r="F782">
        <v>135</v>
      </c>
      <c r="G782">
        <v>4.0999999999999996</v>
      </c>
      <c r="H782">
        <v>4</v>
      </c>
    </row>
    <row r="783" spans="1:8" x14ac:dyDescent="0.25">
      <c r="A783" t="s">
        <v>805</v>
      </c>
      <c r="B783" t="s">
        <v>19</v>
      </c>
      <c r="C783">
        <v>82</v>
      </c>
      <c r="D783" t="s">
        <v>9</v>
      </c>
      <c r="E783" s="23">
        <v>45200</v>
      </c>
      <c r="F783">
        <v>99</v>
      </c>
      <c r="G783">
        <v>4.2</v>
      </c>
      <c r="H783">
        <v>4</v>
      </c>
    </row>
    <row r="784" spans="1:8" x14ac:dyDescent="0.25">
      <c r="A784" t="s">
        <v>806</v>
      </c>
      <c r="B784" t="s">
        <v>18</v>
      </c>
      <c r="C784">
        <v>149</v>
      </c>
      <c r="D784" t="s">
        <v>11</v>
      </c>
      <c r="E784" s="23">
        <v>45200</v>
      </c>
      <c r="F784">
        <v>130</v>
      </c>
      <c r="G784">
        <v>3.3</v>
      </c>
      <c r="H784">
        <v>3</v>
      </c>
    </row>
    <row r="785" spans="1:8" x14ac:dyDescent="0.25">
      <c r="A785" t="s">
        <v>807</v>
      </c>
      <c r="B785" t="s">
        <v>15</v>
      </c>
      <c r="C785">
        <v>56</v>
      </c>
      <c r="D785" t="s">
        <v>6</v>
      </c>
      <c r="E785" s="23">
        <v>45200</v>
      </c>
      <c r="F785">
        <v>96</v>
      </c>
      <c r="G785">
        <v>4.7</v>
      </c>
      <c r="H785">
        <v>5</v>
      </c>
    </row>
    <row r="786" spans="1:8" x14ac:dyDescent="0.25">
      <c r="A786" t="s">
        <v>808</v>
      </c>
      <c r="B786" t="s">
        <v>8</v>
      </c>
      <c r="C786">
        <v>80</v>
      </c>
      <c r="D786" t="s">
        <v>11</v>
      </c>
      <c r="E786" s="23">
        <v>45200</v>
      </c>
      <c r="F786">
        <v>128</v>
      </c>
      <c r="G786">
        <v>3.7</v>
      </c>
      <c r="H786">
        <v>4</v>
      </c>
    </row>
    <row r="787" spans="1:8" x14ac:dyDescent="0.25">
      <c r="A787" t="s">
        <v>809</v>
      </c>
      <c r="B787" t="s">
        <v>5</v>
      </c>
      <c r="C787">
        <v>131</v>
      </c>
      <c r="D787" t="s">
        <v>10</v>
      </c>
      <c r="E787" s="23">
        <v>45200</v>
      </c>
      <c r="F787">
        <v>69</v>
      </c>
      <c r="G787">
        <v>4.7</v>
      </c>
      <c r="H787">
        <v>5</v>
      </c>
    </row>
    <row r="788" spans="1:8" x14ac:dyDescent="0.25">
      <c r="A788" t="s">
        <v>810</v>
      </c>
      <c r="B788" t="s">
        <v>5</v>
      </c>
      <c r="C788">
        <v>109</v>
      </c>
      <c r="D788" t="s">
        <v>10</v>
      </c>
      <c r="E788" s="23">
        <v>45200</v>
      </c>
      <c r="F788">
        <v>44</v>
      </c>
      <c r="G788">
        <v>4.5999999999999996</v>
      </c>
      <c r="H788">
        <v>5</v>
      </c>
    </row>
    <row r="789" spans="1:8" x14ac:dyDescent="0.25">
      <c r="A789" t="s">
        <v>811</v>
      </c>
      <c r="B789" t="s">
        <v>15</v>
      </c>
      <c r="C789">
        <v>142</v>
      </c>
      <c r="D789" t="s">
        <v>10</v>
      </c>
      <c r="E789" s="23">
        <v>45200</v>
      </c>
      <c r="F789">
        <v>44</v>
      </c>
      <c r="G789">
        <v>4.8</v>
      </c>
      <c r="H789">
        <v>5</v>
      </c>
    </row>
    <row r="790" spans="1:8" x14ac:dyDescent="0.25">
      <c r="A790" t="s">
        <v>812</v>
      </c>
      <c r="B790" t="s">
        <v>22</v>
      </c>
      <c r="C790">
        <v>114</v>
      </c>
      <c r="D790" t="s">
        <v>6</v>
      </c>
      <c r="E790" s="23">
        <v>45201</v>
      </c>
      <c r="F790">
        <v>135</v>
      </c>
      <c r="G790">
        <v>2</v>
      </c>
      <c r="H790">
        <v>2</v>
      </c>
    </row>
    <row r="791" spans="1:8" x14ac:dyDescent="0.25">
      <c r="A791" t="s">
        <v>813</v>
      </c>
      <c r="B791" t="s">
        <v>21</v>
      </c>
      <c r="C791">
        <v>93</v>
      </c>
      <c r="D791" t="s">
        <v>11</v>
      </c>
      <c r="E791" s="23">
        <v>45201</v>
      </c>
      <c r="F791">
        <v>45</v>
      </c>
      <c r="G791">
        <v>3.9</v>
      </c>
      <c r="H791">
        <v>4</v>
      </c>
    </row>
    <row r="792" spans="1:8" x14ac:dyDescent="0.25">
      <c r="A792" t="s">
        <v>814</v>
      </c>
      <c r="B792" t="s">
        <v>17</v>
      </c>
      <c r="C792">
        <v>43</v>
      </c>
      <c r="D792" t="s">
        <v>11</v>
      </c>
      <c r="E792" s="23">
        <v>45201</v>
      </c>
      <c r="F792">
        <v>87</v>
      </c>
      <c r="G792">
        <v>3</v>
      </c>
      <c r="H792">
        <v>3</v>
      </c>
    </row>
    <row r="793" spans="1:8" x14ac:dyDescent="0.25">
      <c r="A793" t="s">
        <v>815</v>
      </c>
      <c r="B793" t="s">
        <v>24</v>
      </c>
      <c r="C793">
        <v>78</v>
      </c>
      <c r="D793" t="s">
        <v>13</v>
      </c>
      <c r="E793" s="23">
        <v>45202</v>
      </c>
      <c r="F793">
        <v>84</v>
      </c>
      <c r="G793">
        <v>4.5999999999999996</v>
      </c>
      <c r="H793">
        <v>5</v>
      </c>
    </row>
    <row r="794" spans="1:8" x14ac:dyDescent="0.25">
      <c r="A794" t="s">
        <v>816</v>
      </c>
      <c r="B794" t="s">
        <v>22</v>
      </c>
      <c r="C794">
        <v>89</v>
      </c>
      <c r="D794" t="s">
        <v>10</v>
      </c>
      <c r="E794" s="23">
        <v>45202</v>
      </c>
      <c r="F794">
        <v>81</v>
      </c>
      <c r="G794">
        <v>3.8</v>
      </c>
      <c r="H794">
        <v>4</v>
      </c>
    </row>
    <row r="795" spans="1:8" x14ac:dyDescent="0.25">
      <c r="A795" t="s">
        <v>817</v>
      </c>
      <c r="B795" t="s">
        <v>15</v>
      </c>
      <c r="C795">
        <v>82</v>
      </c>
      <c r="D795" t="s">
        <v>9</v>
      </c>
      <c r="E795" s="23">
        <v>45202</v>
      </c>
      <c r="F795">
        <v>130</v>
      </c>
      <c r="G795">
        <v>4.4000000000000004</v>
      </c>
      <c r="H795">
        <v>4</v>
      </c>
    </row>
    <row r="796" spans="1:8" x14ac:dyDescent="0.25">
      <c r="A796" t="s">
        <v>818</v>
      </c>
      <c r="B796" t="s">
        <v>8</v>
      </c>
      <c r="C796">
        <v>86</v>
      </c>
      <c r="D796" t="s">
        <v>10</v>
      </c>
      <c r="E796" s="23">
        <v>45203</v>
      </c>
      <c r="F796">
        <v>92</v>
      </c>
      <c r="G796">
        <v>2.4</v>
      </c>
      <c r="H796">
        <v>2</v>
      </c>
    </row>
    <row r="797" spans="1:8" x14ac:dyDescent="0.25">
      <c r="A797" t="s">
        <v>819</v>
      </c>
      <c r="B797" t="s">
        <v>16</v>
      </c>
      <c r="C797">
        <v>57</v>
      </c>
      <c r="D797" t="s">
        <v>13</v>
      </c>
      <c r="E797" s="23">
        <v>45203</v>
      </c>
      <c r="F797">
        <v>48</v>
      </c>
      <c r="G797">
        <v>4.5</v>
      </c>
      <c r="H797">
        <v>5</v>
      </c>
    </row>
    <row r="798" spans="1:8" x14ac:dyDescent="0.25">
      <c r="A798" t="s">
        <v>820</v>
      </c>
      <c r="B798" t="s">
        <v>21</v>
      </c>
      <c r="C798">
        <v>103</v>
      </c>
      <c r="D798" t="s">
        <v>6</v>
      </c>
      <c r="E798" s="23">
        <v>45203</v>
      </c>
      <c r="F798">
        <v>160</v>
      </c>
      <c r="G798">
        <v>4.5</v>
      </c>
      <c r="H798">
        <v>5</v>
      </c>
    </row>
    <row r="799" spans="1:8" x14ac:dyDescent="0.25">
      <c r="A799" t="s">
        <v>821</v>
      </c>
      <c r="B799" t="s">
        <v>14</v>
      </c>
      <c r="C799">
        <v>138</v>
      </c>
      <c r="D799" t="s">
        <v>13</v>
      </c>
      <c r="E799" s="23">
        <v>45204</v>
      </c>
      <c r="F799">
        <v>155</v>
      </c>
      <c r="G799">
        <v>2.7</v>
      </c>
      <c r="H799">
        <v>3</v>
      </c>
    </row>
    <row r="800" spans="1:8" x14ac:dyDescent="0.25">
      <c r="A800" t="s">
        <v>822</v>
      </c>
      <c r="B800" t="s">
        <v>18</v>
      </c>
      <c r="C800">
        <v>88</v>
      </c>
      <c r="D800" t="s">
        <v>9</v>
      </c>
      <c r="E800" s="23">
        <v>45204</v>
      </c>
      <c r="F800">
        <v>100</v>
      </c>
      <c r="G800">
        <v>4.9000000000000004</v>
      </c>
      <c r="H800">
        <v>5</v>
      </c>
    </row>
    <row r="801" spans="1:8" x14ac:dyDescent="0.25">
      <c r="A801" t="s">
        <v>823</v>
      </c>
      <c r="B801" t="s">
        <v>22</v>
      </c>
      <c r="C801">
        <v>118</v>
      </c>
      <c r="D801" t="s">
        <v>11</v>
      </c>
      <c r="E801" s="23">
        <v>45204</v>
      </c>
      <c r="F801">
        <v>56</v>
      </c>
      <c r="G801">
        <v>3.7</v>
      </c>
      <c r="H801">
        <v>4</v>
      </c>
    </row>
    <row r="802" spans="1:8" x14ac:dyDescent="0.25">
      <c r="A802" t="s">
        <v>824</v>
      </c>
      <c r="B802" t="s">
        <v>8</v>
      </c>
      <c r="C802">
        <v>4</v>
      </c>
      <c r="D802" t="s">
        <v>10</v>
      </c>
      <c r="E802" s="23">
        <v>45204</v>
      </c>
      <c r="F802">
        <v>170</v>
      </c>
      <c r="G802">
        <v>3.9</v>
      </c>
      <c r="H802">
        <v>4</v>
      </c>
    </row>
    <row r="803" spans="1:8" x14ac:dyDescent="0.25">
      <c r="A803" t="s">
        <v>825</v>
      </c>
      <c r="B803" t="s">
        <v>17</v>
      </c>
      <c r="C803">
        <v>78</v>
      </c>
      <c r="D803" t="s">
        <v>6</v>
      </c>
      <c r="E803" s="23">
        <v>45205</v>
      </c>
      <c r="F803">
        <v>74</v>
      </c>
      <c r="G803">
        <v>3.5</v>
      </c>
      <c r="H803">
        <v>4</v>
      </c>
    </row>
    <row r="804" spans="1:8" x14ac:dyDescent="0.25">
      <c r="A804" t="s">
        <v>826</v>
      </c>
      <c r="B804" t="s">
        <v>7</v>
      </c>
      <c r="C804">
        <v>69</v>
      </c>
      <c r="D804" t="s">
        <v>10</v>
      </c>
      <c r="E804" s="23">
        <v>45205</v>
      </c>
      <c r="F804">
        <v>99</v>
      </c>
      <c r="G804">
        <v>2.7</v>
      </c>
      <c r="H804">
        <v>3</v>
      </c>
    </row>
    <row r="805" spans="1:8" x14ac:dyDescent="0.25">
      <c r="A805" t="s">
        <v>827</v>
      </c>
      <c r="B805" t="s">
        <v>15</v>
      </c>
      <c r="C805">
        <v>90</v>
      </c>
      <c r="D805" t="s">
        <v>13</v>
      </c>
      <c r="E805" s="23">
        <v>45205</v>
      </c>
      <c r="F805">
        <v>84</v>
      </c>
      <c r="G805">
        <v>3.9</v>
      </c>
      <c r="H805">
        <v>4</v>
      </c>
    </row>
    <row r="806" spans="1:8" x14ac:dyDescent="0.25">
      <c r="A806" t="s">
        <v>828</v>
      </c>
      <c r="B806" t="s">
        <v>7</v>
      </c>
      <c r="C806">
        <v>134</v>
      </c>
      <c r="D806" t="s">
        <v>10</v>
      </c>
      <c r="E806" s="23">
        <v>45205</v>
      </c>
      <c r="F806">
        <v>35</v>
      </c>
      <c r="G806">
        <v>3.4</v>
      </c>
      <c r="H806">
        <v>3</v>
      </c>
    </row>
    <row r="807" spans="1:8" x14ac:dyDescent="0.25">
      <c r="A807" t="s">
        <v>829</v>
      </c>
      <c r="B807" t="s">
        <v>12</v>
      </c>
      <c r="C807">
        <v>65</v>
      </c>
      <c r="D807" t="s">
        <v>11</v>
      </c>
      <c r="E807" s="23">
        <v>45205</v>
      </c>
      <c r="F807">
        <v>150</v>
      </c>
      <c r="G807">
        <v>5</v>
      </c>
      <c r="H807">
        <v>5</v>
      </c>
    </row>
    <row r="808" spans="1:8" x14ac:dyDescent="0.25">
      <c r="A808" t="s">
        <v>830</v>
      </c>
      <c r="B808" t="s">
        <v>23</v>
      </c>
      <c r="C808">
        <v>54</v>
      </c>
      <c r="D808" t="s">
        <v>6</v>
      </c>
      <c r="E808" s="23">
        <v>45206</v>
      </c>
      <c r="F808">
        <v>176</v>
      </c>
      <c r="G808">
        <v>4.4000000000000004</v>
      </c>
      <c r="H808">
        <v>4</v>
      </c>
    </row>
    <row r="809" spans="1:8" x14ac:dyDescent="0.25">
      <c r="A809" t="s">
        <v>831</v>
      </c>
      <c r="B809" t="s">
        <v>23</v>
      </c>
      <c r="C809">
        <v>90</v>
      </c>
      <c r="D809" t="s">
        <v>6</v>
      </c>
      <c r="E809" s="23">
        <v>45206</v>
      </c>
      <c r="F809">
        <v>84</v>
      </c>
      <c r="G809">
        <v>4.3</v>
      </c>
      <c r="H809">
        <v>4</v>
      </c>
    </row>
    <row r="810" spans="1:8" x14ac:dyDescent="0.25">
      <c r="A810" t="s">
        <v>832</v>
      </c>
      <c r="B810" t="s">
        <v>15</v>
      </c>
      <c r="C810">
        <v>66</v>
      </c>
      <c r="D810" t="s">
        <v>6</v>
      </c>
      <c r="E810" s="23">
        <v>45206</v>
      </c>
      <c r="F810">
        <v>136</v>
      </c>
      <c r="G810">
        <v>4.7</v>
      </c>
      <c r="H810">
        <v>5</v>
      </c>
    </row>
    <row r="811" spans="1:8" x14ac:dyDescent="0.25">
      <c r="A811" t="s">
        <v>833</v>
      </c>
      <c r="B811" t="s">
        <v>8</v>
      </c>
      <c r="C811">
        <v>150</v>
      </c>
      <c r="D811" t="s">
        <v>6</v>
      </c>
      <c r="E811" s="23">
        <v>45207</v>
      </c>
      <c r="F811">
        <v>70</v>
      </c>
      <c r="G811">
        <v>4.0999999999999996</v>
      </c>
      <c r="H811">
        <v>4</v>
      </c>
    </row>
    <row r="812" spans="1:8" x14ac:dyDescent="0.25">
      <c r="A812" t="s">
        <v>834</v>
      </c>
      <c r="B812" t="s">
        <v>24</v>
      </c>
      <c r="C812">
        <v>18</v>
      </c>
      <c r="D812" t="s">
        <v>11</v>
      </c>
      <c r="E812" s="23">
        <v>45207</v>
      </c>
      <c r="F812">
        <v>96</v>
      </c>
      <c r="G812">
        <v>4.8</v>
      </c>
      <c r="H812">
        <v>5</v>
      </c>
    </row>
    <row r="813" spans="1:8" x14ac:dyDescent="0.25">
      <c r="A813" t="s">
        <v>835</v>
      </c>
      <c r="B813" t="s">
        <v>23</v>
      </c>
      <c r="C813">
        <v>87</v>
      </c>
      <c r="D813" t="s">
        <v>11</v>
      </c>
      <c r="E813" s="23">
        <v>45207</v>
      </c>
      <c r="F813">
        <v>23</v>
      </c>
      <c r="G813">
        <v>4.2</v>
      </c>
      <c r="H813">
        <v>4</v>
      </c>
    </row>
    <row r="814" spans="1:8" x14ac:dyDescent="0.25">
      <c r="A814" t="s">
        <v>836</v>
      </c>
      <c r="B814" t="s">
        <v>14</v>
      </c>
      <c r="C814">
        <v>94</v>
      </c>
      <c r="D814" t="s">
        <v>6</v>
      </c>
      <c r="E814" s="23">
        <v>45208</v>
      </c>
      <c r="F814">
        <v>120</v>
      </c>
      <c r="G814">
        <v>3.4</v>
      </c>
      <c r="H814">
        <v>3</v>
      </c>
    </row>
    <row r="815" spans="1:8" x14ac:dyDescent="0.25">
      <c r="A815" t="s">
        <v>837</v>
      </c>
      <c r="B815" t="s">
        <v>16</v>
      </c>
      <c r="C815">
        <v>56</v>
      </c>
      <c r="D815" t="s">
        <v>6</v>
      </c>
      <c r="E815" s="23">
        <v>45208</v>
      </c>
      <c r="F815">
        <v>205</v>
      </c>
      <c r="G815">
        <v>3.3</v>
      </c>
      <c r="H815">
        <v>3</v>
      </c>
    </row>
    <row r="816" spans="1:8" x14ac:dyDescent="0.25">
      <c r="A816" t="s">
        <v>838</v>
      </c>
      <c r="B816" t="s">
        <v>22</v>
      </c>
      <c r="C816">
        <v>41</v>
      </c>
      <c r="D816" t="s">
        <v>9</v>
      </c>
      <c r="E816" s="23">
        <v>45209</v>
      </c>
      <c r="F816">
        <v>42</v>
      </c>
      <c r="G816">
        <v>3.8</v>
      </c>
      <c r="H816">
        <v>4</v>
      </c>
    </row>
    <row r="817" spans="1:8" x14ac:dyDescent="0.25">
      <c r="A817" t="s">
        <v>839</v>
      </c>
      <c r="B817" t="s">
        <v>8</v>
      </c>
      <c r="C817">
        <v>119</v>
      </c>
      <c r="D817" t="s">
        <v>13</v>
      </c>
      <c r="E817" s="23">
        <v>45209</v>
      </c>
      <c r="F817">
        <v>111</v>
      </c>
      <c r="G817">
        <v>3.9</v>
      </c>
      <c r="H817">
        <v>4</v>
      </c>
    </row>
    <row r="818" spans="1:8" x14ac:dyDescent="0.25">
      <c r="A818" t="s">
        <v>840</v>
      </c>
      <c r="B818" t="s">
        <v>21</v>
      </c>
      <c r="C818">
        <v>108</v>
      </c>
      <c r="D818" t="s">
        <v>6</v>
      </c>
      <c r="E818" s="23">
        <v>45209</v>
      </c>
      <c r="F818">
        <v>68</v>
      </c>
      <c r="G818">
        <v>2.5</v>
      </c>
      <c r="H818">
        <v>3</v>
      </c>
    </row>
    <row r="819" spans="1:8" x14ac:dyDescent="0.25">
      <c r="A819" t="s">
        <v>841</v>
      </c>
      <c r="B819" t="s">
        <v>17</v>
      </c>
      <c r="C819">
        <v>63</v>
      </c>
      <c r="D819" t="s">
        <v>10</v>
      </c>
      <c r="E819" s="23">
        <v>45209</v>
      </c>
      <c r="F819">
        <v>172</v>
      </c>
      <c r="G819">
        <v>4.9000000000000004</v>
      </c>
      <c r="H819">
        <v>5</v>
      </c>
    </row>
    <row r="820" spans="1:8" x14ac:dyDescent="0.25">
      <c r="A820" t="s">
        <v>842</v>
      </c>
      <c r="B820" t="s">
        <v>19</v>
      </c>
      <c r="C820">
        <v>59</v>
      </c>
      <c r="D820" t="s">
        <v>6</v>
      </c>
      <c r="E820" s="23">
        <v>45209</v>
      </c>
      <c r="F820">
        <v>152</v>
      </c>
      <c r="G820">
        <v>4.8</v>
      </c>
      <c r="H820">
        <v>5</v>
      </c>
    </row>
    <row r="821" spans="1:8" x14ac:dyDescent="0.25">
      <c r="A821" t="s">
        <v>843</v>
      </c>
      <c r="B821" t="s">
        <v>19</v>
      </c>
      <c r="C821">
        <v>90</v>
      </c>
      <c r="D821" t="s">
        <v>9</v>
      </c>
      <c r="E821" s="23">
        <v>45209</v>
      </c>
      <c r="F821">
        <v>48</v>
      </c>
      <c r="G821">
        <v>4.7</v>
      </c>
      <c r="H821">
        <v>5</v>
      </c>
    </row>
    <row r="822" spans="1:8" x14ac:dyDescent="0.25">
      <c r="A822" t="s">
        <v>844</v>
      </c>
      <c r="B822" t="s">
        <v>18</v>
      </c>
      <c r="C822">
        <v>55</v>
      </c>
      <c r="D822" t="s">
        <v>9</v>
      </c>
      <c r="E822" s="23">
        <v>45209</v>
      </c>
      <c r="F822">
        <v>25</v>
      </c>
      <c r="G822">
        <v>4.7</v>
      </c>
      <c r="H822">
        <v>5</v>
      </c>
    </row>
    <row r="823" spans="1:8" x14ac:dyDescent="0.25">
      <c r="A823" t="s">
        <v>845</v>
      </c>
      <c r="B823" t="s">
        <v>21</v>
      </c>
      <c r="C823">
        <v>84</v>
      </c>
      <c r="D823" t="s">
        <v>13</v>
      </c>
      <c r="E823" s="23">
        <v>45210</v>
      </c>
      <c r="F823">
        <v>54</v>
      </c>
      <c r="G823">
        <v>3.3</v>
      </c>
      <c r="H823">
        <v>3</v>
      </c>
    </row>
    <row r="824" spans="1:8" x14ac:dyDescent="0.25">
      <c r="A824" t="s">
        <v>846</v>
      </c>
      <c r="B824" t="s">
        <v>21</v>
      </c>
      <c r="C824">
        <v>150</v>
      </c>
      <c r="D824" t="s">
        <v>11</v>
      </c>
      <c r="E824" s="23">
        <v>45210</v>
      </c>
      <c r="F824">
        <v>108</v>
      </c>
      <c r="G824">
        <v>4.7</v>
      </c>
      <c r="H824">
        <v>5</v>
      </c>
    </row>
    <row r="825" spans="1:8" x14ac:dyDescent="0.25">
      <c r="A825" t="s">
        <v>847</v>
      </c>
      <c r="B825" t="s">
        <v>5</v>
      </c>
      <c r="C825">
        <v>69</v>
      </c>
      <c r="D825" t="s">
        <v>6</v>
      </c>
      <c r="E825" s="23">
        <v>45210</v>
      </c>
      <c r="F825">
        <v>36</v>
      </c>
      <c r="G825">
        <v>4.5</v>
      </c>
      <c r="H825">
        <v>5</v>
      </c>
    </row>
    <row r="826" spans="1:8" x14ac:dyDescent="0.25">
      <c r="A826" t="s">
        <v>848</v>
      </c>
      <c r="B826" t="s">
        <v>20</v>
      </c>
      <c r="C826">
        <v>120</v>
      </c>
      <c r="D826" t="s">
        <v>9</v>
      </c>
      <c r="E826" s="23">
        <v>45211</v>
      </c>
      <c r="F826">
        <v>140</v>
      </c>
      <c r="G826">
        <v>4.5999999999999996</v>
      </c>
      <c r="H826">
        <v>5</v>
      </c>
    </row>
    <row r="827" spans="1:8" x14ac:dyDescent="0.25">
      <c r="A827" t="s">
        <v>849</v>
      </c>
      <c r="B827" t="s">
        <v>23</v>
      </c>
      <c r="C827">
        <v>126</v>
      </c>
      <c r="D827" t="s">
        <v>13</v>
      </c>
      <c r="E827" s="23">
        <v>45211</v>
      </c>
      <c r="F827">
        <v>50</v>
      </c>
      <c r="G827">
        <v>4.8</v>
      </c>
      <c r="H827">
        <v>5</v>
      </c>
    </row>
    <row r="828" spans="1:8" x14ac:dyDescent="0.25">
      <c r="A828" t="s">
        <v>850</v>
      </c>
      <c r="B828" t="s">
        <v>5</v>
      </c>
      <c r="C828">
        <v>120</v>
      </c>
      <c r="D828" t="s">
        <v>10</v>
      </c>
      <c r="E828" s="23">
        <v>45211</v>
      </c>
      <c r="F828">
        <v>195</v>
      </c>
      <c r="G828">
        <v>4.3</v>
      </c>
      <c r="H828">
        <v>4</v>
      </c>
    </row>
    <row r="829" spans="1:8" x14ac:dyDescent="0.25">
      <c r="A829" t="s">
        <v>851</v>
      </c>
      <c r="B829" t="s">
        <v>23</v>
      </c>
      <c r="C829">
        <v>139</v>
      </c>
      <c r="D829" t="s">
        <v>9</v>
      </c>
      <c r="E829" s="23">
        <v>45212</v>
      </c>
      <c r="F829">
        <v>48</v>
      </c>
      <c r="G829">
        <v>4.7</v>
      </c>
      <c r="H829">
        <v>5</v>
      </c>
    </row>
    <row r="830" spans="1:8" x14ac:dyDescent="0.25">
      <c r="A830" t="s">
        <v>852</v>
      </c>
      <c r="B830" t="s">
        <v>18</v>
      </c>
      <c r="C830">
        <v>124</v>
      </c>
      <c r="D830" t="s">
        <v>6</v>
      </c>
      <c r="E830" s="23">
        <v>45213</v>
      </c>
      <c r="F830">
        <v>29</v>
      </c>
      <c r="G830">
        <v>4.8</v>
      </c>
      <c r="H830">
        <v>5</v>
      </c>
    </row>
    <row r="831" spans="1:8" x14ac:dyDescent="0.25">
      <c r="A831" t="s">
        <v>853</v>
      </c>
      <c r="B831" t="s">
        <v>20</v>
      </c>
      <c r="C831">
        <v>108</v>
      </c>
      <c r="D831" t="s">
        <v>10</v>
      </c>
      <c r="E831" s="23">
        <v>45213</v>
      </c>
      <c r="F831">
        <v>44</v>
      </c>
      <c r="G831">
        <v>4.7</v>
      </c>
      <c r="H831">
        <v>5</v>
      </c>
    </row>
    <row r="832" spans="1:8" x14ac:dyDescent="0.25">
      <c r="A832" t="s">
        <v>854</v>
      </c>
      <c r="B832" t="s">
        <v>12</v>
      </c>
      <c r="C832">
        <v>132</v>
      </c>
      <c r="D832" t="s">
        <v>11</v>
      </c>
      <c r="E832" s="23">
        <v>45213</v>
      </c>
      <c r="F832">
        <v>140</v>
      </c>
      <c r="G832">
        <v>4.3</v>
      </c>
      <c r="H832">
        <v>4</v>
      </c>
    </row>
    <row r="833" spans="1:8" x14ac:dyDescent="0.25">
      <c r="A833" t="s">
        <v>855</v>
      </c>
      <c r="B833" t="s">
        <v>17</v>
      </c>
      <c r="C833">
        <v>67</v>
      </c>
      <c r="D833" t="s">
        <v>11</v>
      </c>
      <c r="E833" s="23">
        <v>45213</v>
      </c>
      <c r="F833">
        <v>105</v>
      </c>
      <c r="G833">
        <v>3.8</v>
      </c>
      <c r="H833">
        <v>4</v>
      </c>
    </row>
    <row r="834" spans="1:8" x14ac:dyDescent="0.25">
      <c r="A834" t="s">
        <v>856</v>
      </c>
      <c r="B834" t="s">
        <v>15</v>
      </c>
      <c r="C834">
        <v>125</v>
      </c>
      <c r="D834" t="s">
        <v>11</v>
      </c>
      <c r="E834" s="23">
        <v>45213</v>
      </c>
      <c r="F834">
        <v>82</v>
      </c>
      <c r="G834">
        <v>4.5999999999999996</v>
      </c>
      <c r="H834">
        <v>5</v>
      </c>
    </row>
    <row r="835" spans="1:8" x14ac:dyDescent="0.25">
      <c r="A835" t="s">
        <v>857</v>
      </c>
      <c r="B835" t="s">
        <v>20</v>
      </c>
      <c r="C835">
        <v>23</v>
      </c>
      <c r="D835" t="s">
        <v>10</v>
      </c>
      <c r="E835" s="23">
        <v>45213</v>
      </c>
      <c r="F835">
        <v>24</v>
      </c>
      <c r="G835">
        <v>2.9</v>
      </c>
      <c r="H835">
        <v>3</v>
      </c>
    </row>
    <row r="836" spans="1:8" x14ac:dyDescent="0.25">
      <c r="A836" t="s">
        <v>858</v>
      </c>
      <c r="B836" t="s">
        <v>8</v>
      </c>
      <c r="C836">
        <v>131</v>
      </c>
      <c r="D836" t="s">
        <v>6</v>
      </c>
      <c r="E836" s="23">
        <v>45214</v>
      </c>
      <c r="F836">
        <v>205</v>
      </c>
      <c r="G836">
        <v>4.8</v>
      </c>
      <c r="H836">
        <v>5</v>
      </c>
    </row>
    <row r="837" spans="1:8" x14ac:dyDescent="0.25">
      <c r="A837" t="s">
        <v>859</v>
      </c>
      <c r="B837" t="s">
        <v>12</v>
      </c>
      <c r="C837">
        <v>56</v>
      </c>
      <c r="D837" t="s">
        <v>9</v>
      </c>
      <c r="E837" s="23">
        <v>45214</v>
      </c>
      <c r="F837">
        <v>225</v>
      </c>
      <c r="G837">
        <v>4.9000000000000004</v>
      </c>
      <c r="H837">
        <v>5</v>
      </c>
    </row>
    <row r="838" spans="1:8" x14ac:dyDescent="0.25">
      <c r="A838" t="s">
        <v>860</v>
      </c>
      <c r="B838" t="s">
        <v>8</v>
      </c>
      <c r="C838">
        <v>70</v>
      </c>
      <c r="D838" t="s">
        <v>6</v>
      </c>
      <c r="E838" s="23">
        <v>45214</v>
      </c>
      <c r="F838">
        <v>50</v>
      </c>
      <c r="G838">
        <v>3.4</v>
      </c>
      <c r="H838">
        <v>3</v>
      </c>
    </row>
    <row r="839" spans="1:8" x14ac:dyDescent="0.25">
      <c r="A839" t="s">
        <v>861</v>
      </c>
      <c r="B839" t="s">
        <v>8</v>
      </c>
      <c r="C839">
        <v>55</v>
      </c>
      <c r="D839" t="s">
        <v>11</v>
      </c>
      <c r="E839" s="23">
        <v>45214</v>
      </c>
      <c r="F839">
        <v>80</v>
      </c>
      <c r="G839">
        <v>4.3</v>
      </c>
      <c r="H839">
        <v>4</v>
      </c>
    </row>
    <row r="840" spans="1:8" x14ac:dyDescent="0.25">
      <c r="A840" t="s">
        <v>862</v>
      </c>
      <c r="B840" t="s">
        <v>15</v>
      </c>
      <c r="C840">
        <v>77</v>
      </c>
      <c r="D840" t="s">
        <v>9</v>
      </c>
      <c r="E840" s="23">
        <v>45214</v>
      </c>
      <c r="F840">
        <v>78</v>
      </c>
      <c r="G840">
        <v>3.9</v>
      </c>
      <c r="H840">
        <v>4</v>
      </c>
    </row>
    <row r="841" spans="1:8" x14ac:dyDescent="0.25">
      <c r="A841" t="s">
        <v>863</v>
      </c>
      <c r="B841" t="s">
        <v>21</v>
      </c>
      <c r="C841">
        <v>133</v>
      </c>
      <c r="D841" t="s">
        <v>6</v>
      </c>
      <c r="E841" s="23">
        <v>45215</v>
      </c>
      <c r="F841">
        <v>40</v>
      </c>
      <c r="G841">
        <v>3.9</v>
      </c>
      <c r="H841">
        <v>4</v>
      </c>
    </row>
    <row r="842" spans="1:8" x14ac:dyDescent="0.25">
      <c r="A842" t="s">
        <v>864</v>
      </c>
      <c r="B842" t="s">
        <v>15</v>
      </c>
      <c r="C842">
        <v>77</v>
      </c>
      <c r="D842" t="s">
        <v>9</v>
      </c>
      <c r="E842" s="23">
        <v>45215</v>
      </c>
      <c r="F842">
        <v>176</v>
      </c>
      <c r="G842">
        <v>1.5</v>
      </c>
      <c r="H842">
        <v>2</v>
      </c>
    </row>
    <row r="843" spans="1:8" x14ac:dyDescent="0.25">
      <c r="A843" t="s">
        <v>865</v>
      </c>
      <c r="B843" t="s">
        <v>19</v>
      </c>
      <c r="C843">
        <v>103</v>
      </c>
      <c r="D843" t="s">
        <v>6</v>
      </c>
      <c r="E843" s="23">
        <v>45215</v>
      </c>
      <c r="F843">
        <v>78</v>
      </c>
      <c r="G843">
        <v>3</v>
      </c>
      <c r="H843">
        <v>3</v>
      </c>
    </row>
    <row r="844" spans="1:8" x14ac:dyDescent="0.25">
      <c r="A844" t="s">
        <v>866</v>
      </c>
      <c r="B844" t="s">
        <v>5</v>
      </c>
      <c r="C844">
        <v>32</v>
      </c>
      <c r="D844" t="s">
        <v>9</v>
      </c>
      <c r="E844" s="23">
        <v>45215</v>
      </c>
      <c r="F844">
        <v>42</v>
      </c>
      <c r="G844">
        <v>4.2</v>
      </c>
      <c r="H844">
        <v>4</v>
      </c>
    </row>
    <row r="845" spans="1:8" x14ac:dyDescent="0.25">
      <c r="A845" t="s">
        <v>867</v>
      </c>
      <c r="B845" t="s">
        <v>21</v>
      </c>
      <c r="C845">
        <v>30</v>
      </c>
      <c r="D845" t="s">
        <v>6</v>
      </c>
      <c r="E845" s="23">
        <v>45215</v>
      </c>
      <c r="F845">
        <v>38</v>
      </c>
      <c r="G845">
        <v>3.7</v>
      </c>
      <c r="H845">
        <v>4</v>
      </c>
    </row>
    <row r="846" spans="1:8" x14ac:dyDescent="0.25">
      <c r="A846" t="s">
        <v>868</v>
      </c>
      <c r="B846" t="s">
        <v>23</v>
      </c>
      <c r="C846">
        <v>87</v>
      </c>
      <c r="D846" t="s">
        <v>13</v>
      </c>
      <c r="E846" s="23">
        <v>45215</v>
      </c>
      <c r="F846">
        <v>27</v>
      </c>
      <c r="G846">
        <v>4.2</v>
      </c>
      <c r="H846">
        <v>4</v>
      </c>
    </row>
    <row r="847" spans="1:8" x14ac:dyDescent="0.25">
      <c r="A847" t="s">
        <v>869</v>
      </c>
      <c r="B847" t="s">
        <v>15</v>
      </c>
      <c r="C847">
        <v>137</v>
      </c>
      <c r="D847" t="s">
        <v>10</v>
      </c>
      <c r="E847" s="23">
        <v>45216</v>
      </c>
      <c r="F847">
        <v>45</v>
      </c>
      <c r="G847">
        <v>4.4000000000000004</v>
      </c>
      <c r="H847">
        <v>4</v>
      </c>
    </row>
    <row r="848" spans="1:8" x14ac:dyDescent="0.25">
      <c r="A848" t="s">
        <v>870</v>
      </c>
      <c r="B848" t="s">
        <v>14</v>
      </c>
      <c r="C848">
        <v>96</v>
      </c>
      <c r="D848" t="s">
        <v>6</v>
      </c>
      <c r="E848" s="23">
        <v>45216</v>
      </c>
      <c r="F848">
        <v>215</v>
      </c>
      <c r="G848">
        <v>4</v>
      </c>
      <c r="H848">
        <v>4</v>
      </c>
    </row>
    <row r="849" spans="1:8" x14ac:dyDescent="0.25">
      <c r="A849" t="s">
        <v>871</v>
      </c>
      <c r="B849" t="s">
        <v>18</v>
      </c>
      <c r="C849">
        <v>155</v>
      </c>
      <c r="D849" t="s">
        <v>6</v>
      </c>
      <c r="E849" s="23">
        <v>45217</v>
      </c>
      <c r="F849">
        <v>72</v>
      </c>
      <c r="G849">
        <v>4.7</v>
      </c>
      <c r="H849">
        <v>5</v>
      </c>
    </row>
    <row r="850" spans="1:8" x14ac:dyDescent="0.25">
      <c r="A850" t="s">
        <v>872</v>
      </c>
      <c r="B850" t="s">
        <v>21</v>
      </c>
      <c r="C850">
        <v>173</v>
      </c>
      <c r="D850" t="s">
        <v>11</v>
      </c>
      <c r="E850" s="23">
        <v>45217</v>
      </c>
      <c r="F850">
        <v>160</v>
      </c>
      <c r="G850">
        <v>2.8</v>
      </c>
      <c r="H850">
        <v>3</v>
      </c>
    </row>
    <row r="851" spans="1:8" x14ac:dyDescent="0.25">
      <c r="A851" t="s">
        <v>873</v>
      </c>
      <c r="B851" t="s">
        <v>18</v>
      </c>
      <c r="C851">
        <v>127</v>
      </c>
      <c r="D851" t="s">
        <v>6</v>
      </c>
      <c r="E851" s="23">
        <v>45217</v>
      </c>
      <c r="F851">
        <v>165</v>
      </c>
      <c r="G851">
        <v>2.5</v>
      </c>
      <c r="H851">
        <v>3</v>
      </c>
    </row>
    <row r="852" spans="1:8" x14ac:dyDescent="0.25">
      <c r="A852" t="s">
        <v>874</v>
      </c>
      <c r="B852" t="s">
        <v>12</v>
      </c>
      <c r="C852">
        <v>117</v>
      </c>
      <c r="D852" t="s">
        <v>11</v>
      </c>
      <c r="E852" s="23">
        <v>45217</v>
      </c>
      <c r="F852">
        <v>120</v>
      </c>
      <c r="G852">
        <v>3.4</v>
      </c>
      <c r="H852">
        <v>3</v>
      </c>
    </row>
    <row r="853" spans="1:8" x14ac:dyDescent="0.25">
      <c r="A853" t="s">
        <v>875</v>
      </c>
      <c r="B853" t="s">
        <v>20</v>
      </c>
      <c r="C853">
        <v>133</v>
      </c>
      <c r="D853" t="s">
        <v>9</v>
      </c>
      <c r="E853" s="23">
        <v>45217</v>
      </c>
      <c r="F853">
        <v>117</v>
      </c>
      <c r="G853">
        <v>4.8</v>
      </c>
      <c r="H853">
        <v>5</v>
      </c>
    </row>
    <row r="854" spans="1:8" x14ac:dyDescent="0.25">
      <c r="A854" t="s">
        <v>876</v>
      </c>
      <c r="B854" t="s">
        <v>24</v>
      </c>
      <c r="C854">
        <v>166</v>
      </c>
      <c r="D854" t="s">
        <v>13</v>
      </c>
      <c r="E854" s="23">
        <v>45218</v>
      </c>
      <c r="F854">
        <v>29</v>
      </c>
      <c r="G854">
        <v>4.3</v>
      </c>
      <c r="H854">
        <v>4</v>
      </c>
    </row>
    <row r="855" spans="1:8" x14ac:dyDescent="0.25">
      <c r="A855" t="s">
        <v>877</v>
      </c>
      <c r="B855" t="s">
        <v>20</v>
      </c>
      <c r="C855">
        <v>50</v>
      </c>
      <c r="D855" t="s">
        <v>11</v>
      </c>
      <c r="E855" s="23">
        <v>45218</v>
      </c>
      <c r="F855">
        <v>64</v>
      </c>
      <c r="G855">
        <v>4.5</v>
      </c>
      <c r="H855">
        <v>5</v>
      </c>
    </row>
    <row r="856" spans="1:8" x14ac:dyDescent="0.25">
      <c r="A856" t="s">
        <v>878</v>
      </c>
      <c r="B856" t="s">
        <v>19</v>
      </c>
      <c r="C856">
        <v>43</v>
      </c>
      <c r="D856" t="s">
        <v>9</v>
      </c>
      <c r="E856" s="23">
        <v>45218</v>
      </c>
      <c r="F856">
        <v>84</v>
      </c>
      <c r="G856">
        <v>3.6</v>
      </c>
      <c r="H856">
        <v>4</v>
      </c>
    </row>
    <row r="857" spans="1:8" x14ac:dyDescent="0.25">
      <c r="A857" t="s">
        <v>879</v>
      </c>
      <c r="B857" t="s">
        <v>14</v>
      </c>
      <c r="C857">
        <v>124</v>
      </c>
      <c r="D857" t="s">
        <v>6</v>
      </c>
      <c r="E857" s="23">
        <v>45218</v>
      </c>
      <c r="F857">
        <v>42</v>
      </c>
      <c r="G857">
        <v>3.7</v>
      </c>
      <c r="H857">
        <v>4</v>
      </c>
    </row>
    <row r="858" spans="1:8" x14ac:dyDescent="0.25">
      <c r="A858" t="s">
        <v>880</v>
      </c>
      <c r="B858" t="s">
        <v>21</v>
      </c>
      <c r="C858">
        <v>94</v>
      </c>
      <c r="D858" t="s">
        <v>6</v>
      </c>
      <c r="E858" s="23">
        <v>45218</v>
      </c>
      <c r="F858">
        <v>120</v>
      </c>
      <c r="G858">
        <v>3.5</v>
      </c>
      <c r="H858">
        <v>4</v>
      </c>
    </row>
    <row r="859" spans="1:8" x14ac:dyDescent="0.25">
      <c r="A859" t="s">
        <v>881</v>
      </c>
      <c r="B859" t="s">
        <v>19</v>
      </c>
      <c r="C859">
        <v>126</v>
      </c>
      <c r="D859" t="s">
        <v>13</v>
      </c>
      <c r="E859" s="23">
        <v>45219</v>
      </c>
      <c r="F859">
        <v>80</v>
      </c>
      <c r="G859">
        <v>4.7</v>
      </c>
      <c r="H859">
        <v>5</v>
      </c>
    </row>
    <row r="860" spans="1:8" x14ac:dyDescent="0.25">
      <c r="A860" t="s">
        <v>882</v>
      </c>
      <c r="B860" t="s">
        <v>24</v>
      </c>
      <c r="C860">
        <v>105</v>
      </c>
      <c r="D860" t="s">
        <v>11</v>
      </c>
      <c r="E860" s="23">
        <v>45219</v>
      </c>
      <c r="F860">
        <v>185</v>
      </c>
      <c r="G860">
        <v>3.5</v>
      </c>
      <c r="H860">
        <v>4</v>
      </c>
    </row>
    <row r="861" spans="1:8" x14ac:dyDescent="0.25">
      <c r="A861" t="s">
        <v>883</v>
      </c>
      <c r="B861" t="s">
        <v>8</v>
      </c>
      <c r="C861">
        <v>60</v>
      </c>
      <c r="D861" t="s">
        <v>10</v>
      </c>
      <c r="E861" s="23">
        <v>45220</v>
      </c>
      <c r="F861">
        <v>135</v>
      </c>
      <c r="G861">
        <v>3.9</v>
      </c>
      <c r="H861">
        <v>4</v>
      </c>
    </row>
    <row r="862" spans="1:8" x14ac:dyDescent="0.25">
      <c r="A862" t="s">
        <v>884</v>
      </c>
      <c r="B862" t="s">
        <v>8</v>
      </c>
      <c r="C862">
        <v>72</v>
      </c>
      <c r="D862" t="s">
        <v>11</v>
      </c>
      <c r="E862" s="23">
        <v>45220</v>
      </c>
      <c r="F862">
        <v>20</v>
      </c>
      <c r="G862">
        <v>4.8</v>
      </c>
      <c r="H862">
        <v>5</v>
      </c>
    </row>
    <row r="863" spans="1:8" x14ac:dyDescent="0.25">
      <c r="A863" t="s">
        <v>885</v>
      </c>
      <c r="B863" t="s">
        <v>16</v>
      </c>
      <c r="C863">
        <v>40</v>
      </c>
      <c r="D863" t="s">
        <v>11</v>
      </c>
      <c r="E863" s="23">
        <v>45220</v>
      </c>
      <c r="F863">
        <v>31</v>
      </c>
      <c r="G863">
        <v>4</v>
      </c>
      <c r="H863">
        <v>4</v>
      </c>
    </row>
    <row r="864" spans="1:8" x14ac:dyDescent="0.25">
      <c r="A864" t="s">
        <v>886</v>
      </c>
      <c r="B864" t="s">
        <v>5</v>
      </c>
      <c r="C864">
        <v>54</v>
      </c>
      <c r="D864" t="s">
        <v>13</v>
      </c>
      <c r="E864" s="23">
        <v>45221</v>
      </c>
      <c r="F864">
        <v>120</v>
      </c>
      <c r="G864">
        <v>4.7</v>
      </c>
      <c r="H864">
        <v>5</v>
      </c>
    </row>
    <row r="865" spans="1:8" x14ac:dyDescent="0.25">
      <c r="A865" t="s">
        <v>887</v>
      </c>
      <c r="B865" t="s">
        <v>12</v>
      </c>
      <c r="C865">
        <v>81</v>
      </c>
      <c r="D865" t="s">
        <v>9</v>
      </c>
      <c r="E865" s="23">
        <v>45221</v>
      </c>
      <c r="F865">
        <v>117</v>
      </c>
      <c r="G865">
        <v>3.6</v>
      </c>
      <c r="H865">
        <v>4</v>
      </c>
    </row>
    <row r="866" spans="1:8" x14ac:dyDescent="0.25">
      <c r="A866" t="s">
        <v>888</v>
      </c>
      <c r="B866" t="s">
        <v>5</v>
      </c>
      <c r="C866">
        <v>76</v>
      </c>
      <c r="D866" t="s">
        <v>6</v>
      </c>
      <c r="E866" s="23">
        <v>45221</v>
      </c>
      <c r="F866">
        <v>80</v>
      </c>
      <c r="G866">
        <v>4.5</v>
      </c>
      <c r="H866">
        <v>5</v>
      </c>
    </row>
    <row r="867" spans="1:8" x14ac:dyDescent="0.25">
      <c r="A867" t="s">
        <v>889</v>
      </c>
      <c r="B867" t="s">
        <v>5</v>
      </c>
      <c r="C867">
        <v>37</v>
      </c>
      <c r="D867" t="s">
        <v>10</v>
      </c>
      <c r="E867" s="23">
        <v>45222</v>
      </c>
      <c r="F867">
        <v>117</v>
      </c>
      <c r="G867">
        <v>4</v>
      </c>
      <c r="H867">
        <v>4</v>
      </c>
    </row>
    <row r="868" spans="1:8" x14ac:dyDescent="0.25">
      <c r="A868" t="s">
        <v>890</v>
      </c>
      <c r="B868" t="s">
        <v>24</v>
      </c>
      <c r="C868">
        <v>96</v>
      </c>
      <c r="D868" t="s">
        <v>13</v>
      </c>
      <c r="E868" s="23">
        <v>45222</v>
      </c>
      <c r="F868">
        <v>60</v>
      </c>
      <c r="G868">
        <v>4.5</v>
      </c>
      <c r="H868">
        <v>5</v>
      </c>
    </row>
    <row r="869" spans="1:8" x14ac:dyDescent="0.25">
      <c r="A869" t="s">
        <v>891</v>
      </c>
      <c r="B869" t="s">
        <v>8</v>
      </c>
      <c r="C869">
        <v>19</v>
      </c>
      <c r="D869" t="s">
        <v>6</v>
      </c>
      <c r="E869" s="23">
        <v>45223</v>
      </c>
      <c r="F869">
        <v>58</v>
      </c>
      <c r="G869">
        <v>3.9</v>
      </c>
      <c r="H869">
        <v>4</v>
      </c>
    </row>
    <row r="870" spans="1:8" x14ac:dyDescent="0.25">
      <c r="A870" t="s">
        <v>892</v>
      </c>
      <c r="B870" t="s">
        <v>16</v>
      </c>
      <c r="C870">
        <v>72</v>
      </c>
      <c r="D870" t="s">
        <v>10</v>
      </c>
      <c r="E870" s="23">
        <v>45223</v>
      </c>
      <c r="F870">
        <v>41</v>
      </c>
      <c r="G870">
        <v>4.3</v>
      </c>
      <c r="H870">
        <v>4</v>
      </c>
    </row>
    <row r="871" spans="1:8" x14ac:dyDescent="0.25">
      <c r="A871" t="s">
        <v>893</v>
      </c>
      <c r="B871" t="s">
        <v>21</v>
      </c>
      <c r="C871">
        <v>73</v>
      </c>
      <c r="D871" t="s">
        <v>9</v>
      </c>
      <c r="E871" s="23">
        <v>45223</v>
      </c>
      <c r="F871">
        <v>180</v>
      </c>
      <c r="G871">
        <v>3.6</v>
      </c>
      <c r="H871">
        <v>4</v>
      </c>
    </row>
    <row r="872" spans="1:8" x14ac:dyDescent="0.25">
      <c r="A872" t="s">
        <v>894</v>
      </c>
      <c r="B872" t="s">
        <v>17</v>
      </c>
      <c r="C872">
        <v>87</v>
      </c>
      <c r="D872" t="s">
        <v>9</v>
      </c>
      <c r="E872" s="23">
        <v>45223</v>
      </c>
      <c r="F872">
        <v>42</v>
      </c>
      <c r="G872">
        <v>3.6</v>
      </c>
      <c r="H872">
        <v>4</v>
      </c>
    </row>
    <row r="873" spans="1:8" x14ac:dyDescent="0.25">
      <c r="A873" t="s">
        <v>895</v>
      </c>
      <c r="B873" t="s">
        <v>17</v>
      </c>
      <c r="C873">
        <v>68</v>
      </c>
      <c r="D873" t="s">
        <v>9</v>
      </c>
      <c r="E873" s="23">
        <v>45224</v>
      </c>
      <c r="F873">
        <v>24</v>
      </c>
      <c r="G873">
        <v>4</v>
      </c>
      <c r="H873">
        <v>4</v>
      </c>
    </row>
    <row r="874" spans="1:8" x14ac:dyDescent="0.25">
      <c r="A874" t="s">
        <v>896</v>
      </c>
      <c r="B874" t="s">
        <v>16</v>
      </c>
      <c r="C874">
        <v>101</v>
      </c>
      <c r="D874" t="s">
        <v>9</v>
      </c>
      <c r="E874" s="23">
        <v>45224</v>
      </c>
      <c r="F874">
        <v>125</v>
      </c>
      <c r="G874">
        <v>4.2</v>
      </c>
      <c r="H874">
        <v>4</v>
      </c>
    </row>
    <row r="875" spans="1:8" x14ac:dyDescent="0.25">
      <c r="A875" t="s">
        <v>897</v>
      </c>
      <c r="B875" t="s">
        <v>16</v>
      </c>
      <c r="C875">
        <v>107</v>
      </c>
      <c r="D875" t="s">
        <v>10</v>
      </c>
      <c r="E875" s="23">
        <v>45225</v>
      </c>
      <c r="F875">
        <v>78</v>
      </c>
      <c r="G875">
        <v>4.3</v>
      </c>
      <c r="H875">
        <v>4</v>
      </c>
    </row>
    <row r="876" spans="1:8" x14ac:dyDescent="0.25">
      <c r="A876" t="s">
        <v>898</v>
      </c>
      <c r="B876" t="s">
        <v>22</v>
      </c>
      <c r="C876">
        <v>109</v>
      </c>
      <c r="D876" t="s">
        <v>11</v>
      </c>
      <c r="E876" s="23">
        <v>45225</v>
      </c>
      <c r="F876">
        <v>180</v>
      </c>
      <c r="G876">
        <v>3.8</v>
      </c>
      <c r="H876">
        <v>4</v>
      </c>
    </row>
    <row r="877" spans="1:8" x14ac:dyDescent="0.25">
      <c r="A877" t="s">
        <v>899</v>
      </c>
      <c r="B877" t="s">
        <v>14</v>
      </c>
      <c r="C877">
        <v>171</v>
      </c>
      <c r="D877" t="s">
        <v>10</v>
      </c>
      <c r="E877" s="23">
        <v>45225</v>
      </c>
      <c r="F877">
        <v>84</v>
      </c>
      <c r="G877">
        <v>4.4000000000000004</v>
      </c>
      <c r="H877">
        <v>4</v>
      </c>
    </row>
    <row r="878" spans="1:8" x14ac:dyDescent="0.25">
      <c r="A878" t="s">
        <v>900</v>
      </c>
      <c r="B878" t="s">
        <v>8</v>
      </c>
      <c r="C878">
        <v>21</v>
      </c>
      <c r="D878" t="s">
        <v>10</v>
      </c>
      <c r="E878" s="23">
        <v>45225</v>
      </c>
      <c r="F878">
        <v>26</v>
      </c>
      <c r="G878">
        <v>4.7</v>
      </c>
      <c r="H878">
        <v>5</v>
      </c>
    </row>
    <row r="879" spans="1:8" x14ac:dyDescent="0.25">
      <c r="A879" t="s">
        <v>901</v>
      </c>
      <c r="B879" t="s">
        <v>12</v>
      </c>
      <c r="C879">
        <v>94</v>
      </c>
      <c r="D879" t="s">
        <v>10</v>
      </c>
      <c r="E879" s="23">
        <v>45226</v>
      </c>
      <c r="F879">
        <v>140</v>
      </c>
      <c r="G879">
        <v>3.6</v>
      </c>
      <c r="H879">
        <v>4</v>
      </c>
    </row>
    <row r="880" spans="1:8" x14ac:dyDescent="0.25">
      <c r="A880" t="s">
        <v>902</v>
      </c>
      <c r="B880" t="s">
        <v>21</v>
      </c>
      <c r="C880">
        <v>97</v>
      </c>
      <c r="D880" t="s">
        <v>11</v>
      </c>
      <c r="E880" s="23">
        <v>45226</v>
      </c>
      <c r="F880">
        <v>31</v>
      </c>
      <c r="G880">
        <v>2.2000000000000002</v>
      </c>
      <c r="H880">
        <v>2</v>
      </c>
    </row>
    <row r="881" spans="1:8" x14ac:dyDescent="0.25">
      <c r="A881" t="s">
        <v>903</v>
      </c>
      <c r="B881" t="s">
        <v>24</v>
      </c>
      <c r="C881">
        <v>72</v>
      </c>
      <c r="D881" t="s">
        <v>11</v>
      </c>
      <c r="E881" s="23">
        <v>45226</v>
      </c>
      <c r="F881">
        <v>108</v>
      </c>
      <c r="G881">
        <v>4.8</v>
      </c>
      <c r="H881">
        <v>5</v>
      </c>
    </row>
    <row r="882" spans="1:8" x14ac:dyDescent="0.25">
      <c r="A882" t="s">
        <v>904</v>
      </c>
      <c r="B882" t="s">
        <v>14</v>
      </c>
      <c r="C882">
        <v>143</v>
      </c>
      <c r="D882" t="s">
        <v>13</v>
      </c>
      <c r="E882" s="23">
        <v>45227</v>
      </c>
      <c r="F882">
        <v>58</v>
      </c>
      <c r="G882">
        <v>4.3</v>
      </c>
      <c r="H882">
        <v>4</v>
      </c>
    </row>
    <row r="883" spans="1:8" x14ac:dyDescent="0.25">
      <c r="A883" t="s">
        <v>905</v>
      </c>
      <c r="B883" t="s">
        <v>14</v>
      </c>
      <c r="C883">
        <v>64</v>
      </c>
      <c r="D883" t="s">
        <v>11</v>
      </c>
      <c r="E883" s="23">
        <v>45227</v>
      </c>
      <c r="F883">
        <v>185</v>
      </c>
      <c r="G883">
        <v>2.2000000000000002</v>
      </c>
      <c r="H883">
        <v>2</v>
      </c>
    </row>
    <row r="884" spans="1:8" x14ac:dyDescent="0.25">
      <c r="A884" t="s">
        <v>906</v>
      </c>
      <c r="B884" t="s">
        <v>14</v>
      </c>
      <c r="C884">
        <v>69</v>
      </c>
      <c r="D884" t="s">
        <v>11</v>
      </c>
      <c r="E884" s="23">
        <v>45227</v>
      </c>
      <c r="F884">
        <v>40</v>
      </c>
      <c r="G884">
        <v>4.8</v>
      </c>
      <c r="H884">
        <v>5</v>
      </c>
    </row>
    <row r="885" spans="1:8" x14ac:dyDescent="0.25">
      <c r="A885" t="s">
        <v>907</v>
      </c>
      <c r="B885" t="s">
        <v>14</v>
      </c>
      <c r="C885">
        <v>18</v>
      </c>
      <c r="D885" t="s">
        <v>6</v>
      </c>
      <c r="E885" s="23">
        <v>45227</v>
      </c>
      <c r="F885">
        <v>225</v>
      </c>
      <c r="G885">
        <v>2.6</v>
      </c>
      <c r="H885">
        <v>3</v>
      </c>
    </row>
    <row r="886" spans="1:8" x14ac:dyDescent="0.25">
      <c r="A886" t="s">
        <v>908</v>
      </c>
      <c r="B886" t="s">
        <v>21</v>
      </c>
      <c r="C886">
        <v>100</v>
      </c>
      <c r="D886" t="s">
        <v>13</v>
      </c>
      <c r="E886" s="23">
        <v>45227</v>
      </c>
      <c r="F886">
        <v>150</v>
      </c>
      <c r="G886">
        <v>2.6</v>
      </c>
      <c r="H886">
        <v>3</v>
      </c>
    </row>
    <row r="887" spans="1:8" x14ac:dyDescent="0.25">
      <c r="A887" t="s">
        <v>909</v>
      </c>
      <c r="B887" t="s">
        <v>18</v>
      </c>
      <c r="C887">
        <v>110</v>
      </c>
      <c r="D887" t="s">
        <v>9</v>
      </c>
      <c r="E887" s="23">
        <v>45228</v>
      </c>
      <c r="F887">
        <v>88</v>
      </c>
      <c r="G887">
        <v>3.4</v>
      </c>
      <c r="H887">
        <v>3</v>
      </c>
    </row>
    <row r="888" spans="1:8" x14ac:dyDescent="0.25">
      <c r="A888" t="s">
        <v>910</v>
      </c>
      <c r="B888" t="s">
        <v>7</v>
      </c>
      <c r="C888">
        <v>41</v>
      </c>
      <c r="D888" t="s">
        <v>10</v>
      </c>
      <c r="E888" s="23">
        <v>45228</v>
      </c>
      <c r="F888">
        <v>140</v>
      </c>
      <c r="G888">
        <v>3.7</v>
      </c>
      <c r="H888">
        <v>4</v>
      </c>
    </row>
    <row r="889" spans="1:8" x14ac:dyDescent="0.25">
      <c r="A889" t="s">
        <v>911</v>
      </c>
      <c r="B889" t="s">
        <v>18</v>
      </c>
      <c r="C889">
        <v>147</v>
      </c>
      <c r="D889" t="s">
        <v>9</v>
      </c>
      <c r="E889" s="23">
        <v>45228</v>
      </c>
      <c r="F889">
        <v>68</v>
      </c>
      <c r="G889">
        <v>2.1</v>
      </c>
      <c r="H889">
        <v>2</v>
      </c>
    </row>
    <row r="890" spans="1:8" x14ac:dyDescent="0.25">
      <c r="A890" t="s">
        <v>912</v>
      </c>
      <c r="B890" t="s">
        <v>12</v>
      </c>
      <c r="C890">
        <v>31</v>
      </c>
      <c r="D890" t="s">
        <v>6</v>
      </c>
      <c r="E890" s="23">
        <v>45229</v>
      </c>
      <c r="F890">
        <v>105</v>
      </c>
      <c r="G890">
        <v>3.6</v>
      </c>
      <c r="H890">
        <v>4</v>
      </c>
    </row>
    <row r="891" spans="1:8" x14ac:dyDescent="0.25">
      <c r="A891" t="s">
        <v>913</v>
      </c>
      <c r="B891" t="s">
        <v>17</v>
      </c>
      <c r="C891">
        <v>142</v>
      </c>
      <c r="D891" t="s">
        <v>10</v>
      </c>
      <c r="E891" s="23">
        <v>45229</v>
      </c>
      <c r="F891">
        <v>40</v>
      </c>
      <c r="G891">
        <v>3.8</v>
      </c>
      <c r="H891">
        <v>4</v>
      </c>
    </row>
    <row r="892" spans="1:8" x14ac:dyDescent="0.25">
      <c r="A892" t="s">
        <v>914</v>
      </c>
      <c r="B892" t="s">
        <v>22</v>
      </c>
      <c r="C892">
        <v>61</v>
      </c>
      <c r="D892" t="s">
        <v>10</v>
      </c>
      <c r="E892" s="23">
        <v>45229</v>
      </c>
      <c r="F892">
        <v>82</v>
      </c>
      <c r="G892">
        <v>3.1</v>
      </c>
      <c r="H892">
        <v>3</v>
      </c>
    </row>
    <row r="893" spans="1:8" x14ac:dyDescent="0.25">
      <c r="A893" t="s">
        <v>915</v>
      </c>
      <c r="B893" t="s">
        <v>20</v>
      </c>
      <c r="C893">
        <v>86</v>
      </c>
      <c r="D893" t="s">
        <v>6</v>
      </c>
      <c r="E893" s="23">
        <v>45230</v>
      </c>
      <c r="F893">
        <v>90</v>
      </c>
      <c r="G893">
        <v>4.4000000000000004</v>
      </c>
      <c r="H893">
        <v>4</v>
      </c>
    </row>
    <row r="894" spans="1:8" x14ac:dyDescent="0.25">
      <c r="A894" t="s">
        <v>916</v>
      </c>
      <c r="B894" t="s">
        <v>23</v>
      </c>
      <c r="C894">
        <v>165</v>
      </c>
      <c r="D894" t="s">
        <v>13</v>
      </c>
      <c r="E894" s="23">
        <v>45231</v>
      </c>
      <c r="F894">
        <v>66</v>
      </c>
      <c r="G894">
        <v>4.8</v>
      </c>
      <c r="H894">
        <v>5</v>
      </c>
    </row>
    <row r="895" spans="1:8" x14ac:dyDescent="0.25">
      <c r="A895" t="s">
        <v>917</v>
      </c>
      <c r="B895" t="s">
        <v>5</v>
      </c>
      <c r="C895">
        <v>62</v>
      </c>
      <c r="D895" t="s">
        <v>9</v>
      </c>
      <c r="E895" s="23">
        <v>45231</v>
      </c>
      <c r="F895">
        <v>78</v>
      </c>
      <c r="G895">
        <v>3.5</v>
      </c>
      <c r="H895">
        <v>4</v>
      </c>
    </row>
    <row r="896" spans="1:8" x14ac:dyDescent="0.25">
      <c r="A896" t="s">
        <v>918</v>
      </c>
      <c r="B896" t="s">
        <v>21</v>
      </c>
      <c r="C896">
        <v>103</v>
      </c>
      <c r="D896" t="s">
        <v>13</v>
      </c>
      <c r="E896" s="23">
        <v>45232</v>
      </c>
      <c r="F896">
        <v>66</v>
      </c>
      <c r="G896">
        <v>4.4000000000000004</v>
      </c>
      <c r="H896">
        <v>4</v>
      </c>
    </row>
    <row r="897" spans="1:8" x14ac:dyDescent="0.25">
      <c r="A897" t="s">
        <v>919</v>
      </c>
      <c r="B897" t="s">
        <v>17</v>
      </c>
      <c r="C897">
        <v>56</v>
      </c>
      <c r="D897" t="s">
        <v>6</v>
      </c>
      <c r="E897" s="23">
        <v>45233</v>
      </c>
      <c r="F897">
        <v>160</v>
      </c>
      <c r="G897">
        <v>3.8</v>
      </c>
      <c r="H897">
        <v>4</v>
      </c>
    </row>
    <row r="898" spans="1:8" x14ac:dyDescent="0.25">
      <c r="A898" t="s">
        <v>920</v>
      </c>
      <c r="B898" t="s">
        <v>16</v>
      </c>
      <c r="C898">
        <v>114</v>
      </c>
      <c r="D898" t="s">
        <v>10</v>
      </c>
      <c r="E898" s="23">
        <v>45234</v>
      </c>
      <c r="F898">
        <v>144</v>
      </c>
      <c r="G898">
        <v>3.8</v>
      </c>
      <c r="H898">
        <v>4</v>
      </c>
    </row>
    <row r="899" spans="1:8" x14ac:dyDescent="0.25">
      <c r="A899" t="s">
        <v>921</v>
      </c>
      <c r="B899" t="s">
        <v>17</v>
      </c>
      <c r="C899">
        <v>112</v>
      </c>
      <c r="D899" t="s">
        <v>11</v>
      </c>
      <c r="E899" s="23">
        <v>45234</v>
      </c>
      <c r="F899">
        <v>200</v>
      </c>
      <c r="G899">
        <v>4.5999999999999996</v>
      </c>
      <c r="H899">
        <v>5</v>
      </c>
    </row>
    <row r="900" spans="1:8" x14ac:dyDescent="0.25">
      <c r="A900" t="s">
        <v>922</v>
      </c>
      <c r="B900" t="s">
        <v>15</v>
      </c>
      <c r="C900">
        <v>52</v>
      </c>
      <c r="D900" t="s">
        <v>9</v>
      </c>
      <c r="E900" s="23">
        <v>45236</v>
      </c>
      <c r="F900">
        <v>220</v>
      </c>
      <c r="G900">
        <v>5</v>
      </c>
      <c r="H900">
        <v>5</v>
      </c>
    </row>
    <row r="901" spans="1:8" x14ac:dyDescent="0.25">
      <c r="A901" t="s">
        <v>923</v>
      </c>
      <c r="B901" t="s">
        <v>21</v>
      </c>
      <c r="C901">
        <v>105</v>
      </c>
      <c r="D901" t="s">
        <v>13</v>
      </c>
      <c r="E901" s="23">
        <v>45237</v>
      </c>
      <c r="F901">
        <v>112</v>
      </c>
      <c r="G901">
        <v>3.2</v>
      </c>
      <c r="H901">
        <v>3</v>
      </c>
    </row>
    <row r="902" spans="1:8" x14ac:dyDescent="0.25">
      <c r="A902" t="s">
        <v>924</v>
      </c>
      <c r="B902" t="s">
        <v>23</v>
      </c>
      <c r="C902">
        <v>91</v>
      </c>
      <c r="D902" t="s">
        <v>6</v>
      </c>
      <c r="E902" s="23">
        <v>45237</v>
      </c>
      <c r="F902">
        <v>110</v>
      </c>
      <c r="G902">
        <v>3.7</v>
      </c>
      <c r="H902">
        <v>4</v>
      </c>
    </row>
    <row r="903" spans="1:8" x14ac:dyDescent="0.25">
      <c r="A903" t="s">
        <v>925</v>
      </c>
      <c r="B903" t="s">
        <v>19</v>
      </c>
      <c r="C903">
        <v>74</v>
      </c>
      <c r="D903" t="s">
        <v>10</v>
      </c>
      <c r="E903" s="23">
        <v>45238</v>
      </c>
      <c r="F903">
        <v>160</v>
      </c>
      <c r="G903">
        <v>2.7</v>
      </c>
      <c r="H903">
        <v>3</v>
      </c>
    </row>
    <row r="904" spans="1:8" x14ac:dyDescent="0.25">
      <c r="A904" t="s">
        <v>926</v>
      </c>
      <c r="B904" t="s">
        <v>19</v>
      </c>
      <c r="C904">
        <v>30</v>
      </c>
      <c r="D904" t="s">
        <v>6</v>
      </c>
      <c r="E904" s="23">
        <v>45238</v>
      </c>
      <c r="F904">
        <v>84</v>
      </c>
      <c r="G904">
        <v>4</v>
      </c>
      <c r="H904">
        <v>4</v>
      </c>
    </row>
    <row r="905" spans="1:8" x14ac:dyDescent="0.25">
      <c r="A905" t="s">
        <v>927</v>
      </c>
      <c r="B905" t="s">
        <v>23</v>
      </c>
      <c r="C905">
        <v>56</v>
      </c>
      <c r="D905" t="s">
        <v>9</v>
      </c>
      <c r="E905" s="23">
        <v>45238</v>
      </c>
      <c r="F905">
        <v>124</v>
      </c>
      <c r="G905">
        <v>2.6</v>
      </c>
      <c r="H905">
        <v>3</v>
      </c>
    </row>
    <row r="906" spans="1:8" x14ac:dyDescent="0.25">
      <c r="A906" t="s">
        <v>928</v>
      </c>
      <c r="B906" t="s">
        <v>19</v>
      </c>
      <c r="C906">
        <v>151</v>
      </c>
      <c r="D906" t="s">
        <v>11</v>
      </c>
      <c r="E906" s="23">
        <v>45238</v>
      </c>
      <c r="F906">
        <v>84</v>
      </c>
      <c r="G906">
        <v>4.5999999999999996</v>
      </c>
      <c r="H906">
        <v>5</v>
      </c>
    </row>
    <row r="907" spans="1:8" x14ac:dyDescent="0.25">
      <c r="A907" t="s">
        <v>929</v>
      </c>
      <c r="B907" t="s">
        <v>12</v>
      </c>
      <c r="C907">
        <v>108</v>
      </c>
      <c r="D907" t="s">
        <v>13</v>
      </c>
      <c r="E907" s="23">
        <v>45239</v>
      </c>
      <c r="F907">
        <v>130</v>
      </c>
      <c r="G907">
        <v>2.7</v>
      </c>
      <c r="H907">
        <v>3</v>
      </c>
    </row>
    <row r="908" spans="1:8" x14ac:dyDescent="0.25">
      <c r="A908" t="s">
        <v>930</v>
      </c>
      <c r="B908" t="s">
        <v>16</v>
      </c>
      <c r="C908">
        <v>124</v>
      </c>
      <c r="D908" t="s">
        <v>10</v>
      </c>
      <c r="E908" s="23">
        <v>45239</v>
      </c>
      <c r="F908">
        <v>215</v>
      </c>
      <c r="G908">
        <v>3.5</v>
      </c>
      <c r="H908">
        <v>4</v>
      </c>
    </row>
    <row r="909" spans="1:8" x14ac:dyDescent="0.25">
      <c r="A909" t="s">
        <v>931</v>
      </c>
      <c r="B909" t="s">
        <v>21</v>
      </c>
      <c r="C909">
        <v>110</v>
      </c>
      <c r="D909" t="s">
        <v>9</v>
      </c>
      <c r="E909" s="23">
        <v>45240</v>
      </c>
      <c r="F909">
        <v>132</v>
      </c>
      <c r="G909">
        <v>3.6</v>
      </c>
      <c r="H909">
        <v>4</v>
      </c>
    </row>
    <row r="910" spans="1:8" x14ac:dyDescent="0.25">
      <c r="A910" t="s">
        <v>932</v>
      </c>
      <c r="B910" t="s">
        <v>18</v>
      </c>
      <c r="C910">
        <v>89</v>
      </c>
      <c r="D910" t="s">
        <v>13</v>
      </c>
      <c r="E910" s="23">
        <v>45240</v>
      </c>
      <c r="F910">
        <v>88</v>
      </c>
      <c r="G910">
        <v>4.9000000000000004</v>
      </c>
      <c r="H910">
        <v>5</v>
      </c>
    </row>
    <row r="911" spans="1:8" x14ac:dyDescent="0.25">
      <c r="A911" t="s">
        <v>933</v>
      </c>
      <c r="B911" t="s">
        <v>20</v>
      </c>
      <c r="C911">
        <v>95</v>
      </c>
      <c r="D911" t="s">
        <v>9</v>
      </c>
      <c r="E911" s="23">
        <v>45240</v>
      </c>
      <c r="F911">
        <v>140</v>
      </c>
      <c r="G911">
        <v>3.9</v>
      </c>
      <c r="H911">
        <v>4</v>
      </c>
    </row>
    <row r="912" spans="1:8" x14ac:dyDescent="0.25">
      <c r="A912" t="s">
        <v>934</v>
      </c>
      <c r="B912" t="s">
        <v>19</v>
      </c>
      <c r="C912">
        <v>84</v>
      </c>
      <c r="D912" t="s">
        <v>13</v>
      </c>
      <c r="E912" s="23">
        <v>45241</v>
      </c>
      <c r="F912">
        <v>66</v>
      </c>
      <c r="G912">
        <v>4.7</v>
      </c>
      <c r="H912">
        <v>5</v>
      </c>
    </row>
    <row r="913" spans="1:8" x14ac:dyDescent="0.25">
      <c r="A913" t="s">
        <v>935</v>
      </c>
      <c r="B913" t="s">
        <v>24</v>
      </c>
      <c r="C913">
        <v>89</v>
      </c>
      <c r="D913" t="s">
        <v>10</v>
      </c>
      <c r="E913" s="23">
        <v>45241</v>
      </c>
      <c r="F913">
        <v>23</v>
      </c>
      <c r="G913">
        <v>4.5</v>
      </c>
      <c r="H913">
        <v>5</v>
      </c>
    </row>
    <row r="914" spans="1:8" x14ac:dyDescent="0.25">
      <c r="A914" t="s">
        <v>936</v>
      </c>
      <c r="B914" t="s">
        <v>18</v>
      </c>
      <c r="C914">
        <v>146</v>
      </c>
      <c r="D914" t="s">
        <v>10</v>
      </c>
      <c r="E914" s="23">
        <v>45242</v>
      </c>
      <c r="F914">
        <v>220</v>
      </c>
      <c r="G914">
        <v>4.5</v>
      </c>
      <c r="H914">
        <v>5</v>
      </c>
    </row>
    <row r="915" spans="1:8" x14ac:dyDescent="0.25">
      <c r="A915" t="s">
        <v>937</v>
      </c>
      <c r="B915" t="s">
        <v>14</v>
      </c>
      <c r="C915">
        <v>62</v>
      </c>
      <c r="D915" t="s">
        <v>6</v>
      </c>
      <c r="E915" s="23">
        <v>45243</v>
      </c>
      <c r="F915">
        <v>175</v>
      </c>
      <c r="G915">
        <v>4.4000000000000004</v>
      </c>
      <c r="H915">
        <v>4</v>
      </c>
    </row>
    <row r="916" spans="1:8" x14ac:dyDescent="0.25">
      <c r="A916" t="s">
        <v>938</v>
      </c>
      <c r="B916" t="s">
        <v>17</v>
      </c>
      <c r="C916">
        <v>82</v>
      </c>
      <c r="D916" t="s">
        <v>10</v>
      </c>
      <c r="E916" s="23">
        <v>45243</v>
      </c>
      <c r="F916">
        <v>172</v>
      </c>
      <c r="G916">
        <v>4.0999999999999996</v>
      </c>
      <c r="H916">
        <v>4</v>
      </c>
    </row>
    <row r="917" spans="1:8" x14ac:dyDescent="0.25">
      <c r="A917" t="s">
        <v>939</v>
      </c>
      <c r="B917" t="s">
        <v>22</v>
      </c>
      <c r="C917">
        <v>91</v>
      </c>
      <c r="D917" t="s">
        <v>11</v>
      </c>
      <c r="E917" s="23">
        <v>45243</v>
      </c>
      <c r="F917">
        <v>108</v>
      </c>
      <c r="G917">
        <v>3.8</v>
      </c>
      <c r="H917">
        <v>4</v>
      </c>
    </row>
    <row r="918" spans="1:8" x14ac:dyDescent="0.25">
      <c r="A918" t="s">
        <v>940</v>
      </c>
      <c r="B918" t="s">
        <v>24</v>
      </c>
      <c r="C918">
        <v>39</v>
      </c>
      <c r="D918" t="s">
        <v>10</v>
      </c>
      <c r="E918" s="23">
        <v>45244</v>
      </c>
      <c r="F918">
        <v>43</v>
      </c>
      <c r="G918">
        <v>4.2</v>
      </c>
      <c r="H918">
        <v>4</v>
      </c>
    </row>
    <row r="919" spans="1:8" x14ac:dyDescent="0.25">
      <c r="A919" t="s">
        <v>941</v>
      </c>
      <c r="B919" t="s">
        <v>18</v>
      </c>
      <c r="C919">
        <v>149</v>
      </c>
      <c r="D919" t="s">
        <v>9</v>
      </c>
      <c r="E919" s="23">
        <v>45244</v>
      </c>
      <c r="F919">
        <v>44</v>
      </c>
      <c r="G919">
        <v>2.2000000000000002</v>
      </c>
      <c r="H919">
        <v>2</v>
      </c>
    </row>
    <row r="920" spans="1:8" x14ac:dyDescent="0.25">
      <c r="A920" t="s">
        <v>942</v>
      </c>
      <c r="B920" t="s">
        <v>17</v>
      </c>
      <c r="C920">
        <v>138</v>
      </c>
      <c r="D920" t="s">
        <v>6</v>
      </c>
      <c r="E920" s="23">
        <v>45244</v>
      </c>
      <c r="F920">
        <v>105</v>
      </c>
      <c r="G920">
        <v>3.9</v>
      </c>
      <c r="H920">
        <v>4</v>
      </c>
    </row>
    <row r="921" spans="1:8" x14ac:dyDescent="0.25">
      <c r="A921" t="s">
        <v>943</v>
      </c>
      <c r="B921" t="s">
        <v>14</v>
      </c>
      <c r="C921">
        <v>113</v>
      </c>
      <c r="D921" t="s">
        <v>9</v>
      </c>
      <c r="E921" s="23">
        <v>45245</v>
      </c>
      <c r="F921">
        <v>34</v>
      </c>
      <c r="G921">
        <v>3.9</v>
      </c>
      <c r="H921">
        <v>4</v>
      </c>
    </row>
    <row r="922" spans="1:8" x14ac:dyDescent="0.25">
      <c r="A922" t="s">
        <v>944</v>
      </c>
      <c r="B922" t="s">
        <v>8</v>
      </c>
      <c r="C922">
        <v>88</v>
      </c>
      <c r="D922" t="s">
        <v>10</v>
      </c>
      <c r="E922" s="23">
        <v>45245</v>
      </c>
      <c r="F922">
        <v>220</v>
      </c>
      <c r="G922">
        <v>4.0999999999999996</v>
      </c>
      <c r="H922">
        <v>4</v>
      </c>
    </row>
    <row r="923" spans="1:8" x14ac:dyDescent="0.25">
      <c r="A923" t="s">
        <v>945</v>
      </c>
      <c r="B923" t="s">
        <v>20</v>
      </c>
      <c r="C923">
        <v>64</v>
      </c>
      <c r="D923" t="s">
        <v>6</v>
      </c>
      <c r="E923" s="23">
        <v>45245</v>
      </c>
      <c r="F923">
        <v>225</v>
      </c>
      <c r="G923">
        <v>4.5999999999999996</v>
      </c>
      <c r="H923">
        <v>5</v>
      </c>
    </row>
    <row r="924" spans="1:8" x14ac:dyDescent="0.25">
      <c r="A924" t="s">
        <v>946</v>
      </c>
      <c r="B924" t="s">
        <v>23</v>
      </c>
      <c r="C924">
        <v>53</v>
      </c>
      <c r="D924" t="s">
        <v>6</v>
      </c>
      <c r="E924" s="23">
        <v>45246</v>
      </c>
      <c r="F924">
        <v>37</v>
      </c>
      <c r="G924">
        <v>4.0999999999999996</v>
      </c>
      <c r="H924">
        <v>4</v>
      </c>
    </row>
    <row r="925" spans="1:8" x14ac:dyDescent="0.25">
      <c r="A925" t="s">
        <v>947</v>
      </c>
      <c r="B925" t="s">
        <v>16</v>
      </c>
      <c r="C925">
        <v>63</v>
      </c>
      <c r="D925" t="s">
        <v>9</v>
      </c>
      <c r="E925" s="23">
        <v>45246</v>
      </c>
      <c r="F925">
        <v>44</v>
      </c>
      <c r="G925">
        <v>5</v>
      </c>
      <c r="H925">
        <v>5</v>
      </c>
    </row>
    <row r="926" spans="1:8" x14ac:dyDescent="0.25">
      <c r="A926" t="s">
        <v>948</v>
      </c>
      <c r="B926" t="s">
        <v>15</v>
      </c>
      <c r="C926">
        <v>54</v>
      </c>
      <c r="D926" t="s">
        <v>9</v>
      </c>
      <c r="E926" s="23">
        <v>45247</v>
      </c>
      <c r="F926">
        <v>35</v>
      </c>
      <c r="G926">
        <v>2.8</v>
      </c>
      <c r="H926">
        <v>3</v>
      </c>
    </row>
    <row r="927" spans="1:8" x14ac:dyDescent="0.25">
      <c r="A927" t="s">
        <v>949</v>
      </c>
      <c r="B927" t="s">
        <v>16</v>
      </c>
      <c r="C927">
        <v>54</v>
      </c>
      <c r="D927" t="s">
        <v>10</v>
      </c>
      <c r="E927" s="23">
        <v>45247</v>
      </c>
      <c r="F927">
        <v>145</v>
      </c>
      <c r="G927">
        <v>2.7</v>
      </c>
      <c r="H927">
        <v>3</v>
      </c>
    </row>
    <row r="928" spans="1:8" x14ac:dyDescent="0.25">
      <c r="A928" t="s">
        <v>950</v>
      </c>
      <c r="B928" t="s">
        <v>18</v>
      </c>
      <c r="C928">
        <v>71</v>
      </c>
      <c r="D928" t="s">
        <v>6</v>
      </c>
      <c r="E928" s="23">
        <v>45247</v>
      </c>
      <c r="F928">
        <v>64</v>
      </c>
      <c r="G928">
        <v>3.9</v>
      </c>
      <c r="H928">
        <v>4</v>
      </c>
    </row>
    <row r="929" spans="1:8" x14ac:dyDescent="0.25">
      <c r="A929" t="s">
        <v>951</v>
      </c>
      <c r="B929" t="s">
        <v>16</v>
      </c>
      <c r="C929">
        <v>93</v>
      </c>
      <c r="D929" t="s">
        <v>10</v>
      </c>
      <c r="E929" s="23">
        <v>45248</v>
      </c>
      <c r="F929">
        <v>185</v>
      </c>
      <c r="G929">
        <v>4.3</v>
      </c>
      <c r="H929">
        <v>4</v>
      </c>
    </row>
    <row r="930" spans="1:8" x14ac:dyDescent="0.25">
      <c r="A930" t="s">
        <v>952</v>
      </c>
      <c r="B930" t="s">
        <v>21</v>
      </c>
      <c r="C930">
        <v>96</v>
      </c>
      <c r="D930" t="s">
        <v>9</v>
      </c>
      <c r="E930" s="23">
        <v>45248</v>
      </c>
      <c r="F930">
        <v>215</v>
      </c>
      <c r="G930">
        <v>2.5</v>
      </c>
      <c r="H930">
        <v>3</v>
      </c>
    </row>
    <row r="931" spans="1:8" x14ac:dyDescent="0.25">
      <c r="A931" t="s">
        <v>953</v>
      </c>
      <c r="B931" t="s">
        <v>24</v>
      </c>
      <c r="C931">
        <v>31</v>
      </c>
      <c r="D931" t="s">
        <v>11</v>
      </c>
      <c r="E931" s="23">
        <v>45248</v>
      </c>
      <c r="F931">
        <v>88</v>
      </c>
      <c r="G931">
        <v>3.4</v>
      </c>
      <c r="H931">
        <v>3</v>
      </c>
    </row>
    <row r="932" spans="1:8" x14ac:dyDescent="0.25">
      <c r="A932" t="s">
        <v>954</v>
      </c>
      <c r="B932" t="s">
        <v>16</v>
      </c>
      <c r="C932">
        <v>107</v>
      </c>
      <c r="D932" t="s">
        <v>6</v>
      </c>
      <c r="E932" s="23">
        <v>45248</v>
      </c>
      <c r="F932">
        <v>23</v>
      </c>
      <c r="G932">
        <v>3.4</v>
      </c>
      <c r="H932">
        <v>3</v>
      </c>
    </row>
    <row r="933" spans="1:8" x14ac:dyDescent="0.25">
      <c r="A933" t="s">
        <v>955</v>
      </c>
      <c r="B933" t="s">
        <v>23</v>
      </c>
      <c r="C933">
        <v>50</v>
      </c>
      <c r="D933" t="s">
        <v>11</v>
      </c>
      <c r="E933" s="23">
        <v>45249</v>
      </c>
      <c r="F933">
        <v>180</v>
      </c>
      <c r="G933">
        <v>1.8</v>
      </c>
      <c r="H933">
        <v>2</v>
      </c>
    </row>
    <row r="934" spans="1:8" x14ac:dyDescent="0.25">
      <c r="A934" t="s">
        <v>956</v>
      </c>
      <c r="B934" t="s">
        <v>17</v>
      </c>
      <c r="C934">
        <v>69</v>
      </c>
      <c r="D934" t="s">
        <v>6</v>
      </c>
      <c r="E934" s="23">
        <v>45250</v>
      </c>
      <c r="F934">
        <v>225</v>
      </c>
      <c r="G934">
        <v>3.7</v>
      </c>
      <c r="H934">
        <v>4</v>
      </c>
    </row>
    <row r="935" spans="1:8" x14ac:dyDescent="0.25">
      <c r="A935" t="s">
        <v>957</v>
      </c>
      <c r="B935" t="s">
        <v>8</v>
      </c>
      <c r="C935">
        <v>26</v>
      </c>
      <c r="D935" t="s">
        <v>9</v>
      </c>
      <c r="E935" s="23">
        <v>45251</v>
      </c>
      <c r="F935">
        <v>74</v>
      </c>
      <c r="G935">
        <v>4.0999999999999996</v>
      </c>
      <c r="H935">
        <v>4</v>
      </c>
    </row>
    <row r="936" spans="1:8" x14ac:dyDescent="0.25">
      <c r="A936" t="s">
        <v>958</v>
      </c>
      <c r="B936" t="s">
        <v>21</v>
      </c>
      <c r="C936">
        <v>158</v>
      </c>
      <c r="D936" t="s">
        <v>6</v>
      </c>
      <c r="E936" s="23">
        <v>45251</v>
      </c>
      <c r="F936">
        <v>36</v>
      </c>
      <c r="G936">
        <v>3</v>
      </c>
      <c r="H936">
        <v>3</v>
      </c>
    </row>
    <row r="937" spans="1:8" x14ac:dyDescent="0.25">
      <c r="A937" t="s">
        <v>959</v>
      </c>
      <c r="B937" t="s">
        <v>15</v>
      </c>
      <c r="C937">
        <v>99</v>
      </c>
      <c r="D937" t="s">
        <v>6</v>
      </c>
      <c r="E937" s="23">
        <v>45253</v>
      </c>
      <c r="F937">
        <v>116</v>
      </c>
      <c r="G937">
        <v>3.9</v>
      </c>
      <c r="H937">
        <v>4</v>
      </c>
    </row>
    <row r="938" spans="1:8" x14ac:dyDescent="0.25">
      <c r="A938" t="s">
        <v>960</v>
      </c>
      <c r="B938" t="s">
        <v>21</v>
      </c>
      <c r="C938">
        <v>78</v>
      </c>
      <c r="D938" t="s">
        <v>11</v>
      </c>
      <c r="E938" s="23">
        <v>45253</v>
      </c>
      <c r="F938">
        <v>140</v>
      </c>
      <c r="G938">
        <v>4</v>
      </c>
      <c r="H938">
        <v>4</v>
      </c>
    </row>
    <row r="939" spans="1:8" x14ac:dyDescent="0.25">
      <c r="A939" t="s">
        <v>961</v>
      </c>
      <c r="B939" t="s">
        <v>21</v>
      </c>
      <c r="C939">
        <v>102</v>
      </c>
      <c r="D939" t="s">
        <v>9</v>
      </c>
      <c r="E939" s="23">
        <v>45254</v>
      </c>
      <c r="F939">
        <v>104</v>
      </c>
      <c r="G939">
        <v>4.5</v>
      </c>
      <c r="H939">
        <v>5</v>
      </c>
    </row>
    <row r="940" spans="1:8" x14ac:dyDescent="0.25">
      <c r="A940" t="s">
        <v>962</v>
      </c>
      <c r="B940" t="s">
        <v>15</v>
      </c>
      <c r="C940">
        <v>158</v>
      </c>
      <c r="D940" t="s">
        <v>13</v>
      </c>
      <c r="E940" s="23">
        <v>45254</v>
      </c>
      <c r="F940">
        <v>148</v>
      </c>
      <c r="G940">
        <v>4</v>
      </c>
      <c r="H940">
        <v>4</v>
      </c>
    </row>
    <row r="941" spans="1:8" x14ac:dyDescent="0.25">
      <c r="A941" t="s">
        <v>963</v>
      </c>
      <c r="B941" t="s">
        <v>24</v>
      </c>
      <c r="C941">
        <v>56</v>
      </c>
      <c r="D941" t="s">
        <v>6</v>
      </c>
      <c r="E941" s="23">
        <v>45254</v>
      </c>
      <c r="F941">
        <v>205</v>
      </c>
      <c r="G941">
        <v>4.3</v>
      </c>
      <c r="H941">
        <v>4</v>
      </c>
    </row>
    <row r="942" spans="1:8" x14ac:dyDescent="0.25">
      <c r="A942" t="s">
        <v>964</v>
      </c>
      <c r="B942" t="s">
        <v>12</v>
      </c>
      <c r="C942">
        <v>17</v>
      </c>
      <c r="D942" t="s">
        <v>10</v>
      </c>
      <c r="E942" s="23">
        <v>45254</v>
      </c>
      <c r="F942">
        <v>210</v>
      </c>
      <c r="G942">
        <v>4.8</v>
      </c>
      <c r="H942">
        <v>5</v>
      </c>
    </row>
    <row r="943" spans="1:8" x14ac:dyDescent="0.25">
      <c r="A943" t="s">
        <v>965</v>
      </c>
      <c r="B943" t="s">
        <v>8</v>
      </c>
      <c r="C943">
        <v>104</v>
      </c>
      <c r="D943" t="s">
        <v>13</v>
      </c>
      <c r="E943" s="23">
        <v>45256</v>
      </c>
      <c r="F943">
        <v>41</v>
      </c>
      <c r="G943">
        <v>4.7</v>
      </c>
      <c r="H943">
        <v>5</v>
      </c>
    </row>
    <row r="944" spans="1:8" x14ac:dyDescent="0.25">
      <c r="A944" t="s">
        <v>966</v>
      </c>
      <c r="B944" t="s">
        <v>19</v>
      </c>
      <c r="C944">
        <v>96</v>
      </c>
      <c r="D944" t="s">
        <v>11</v>
      </c>
      <c r="E944" s="23">
        <v>45256</v>
      </c>
      <c r="F944">
        <v>136</v>
      </c>
      <c r="G944">
        <v>5</v>
      </c>
      <c r="H944">
        <v>5</v>
      </c>
    </row>
    <row r="945" spans="1:8" x14ac:dyDescent="0.25">
      <c r="A945" t="s">
        <v>967</v>
      </c>
      <c r="B945" t="s">
        <v>22</v>
      </c>
      <c r="C945">
        <v>83</v>
      </c>
      <c r="D945" t="s">
        <v>9</v>
      </c>
      <c r="E945" s="23">
        <v>45257</v>
      </c>
      <c r="F945">
        <v>126</v>
      </c>
      <c r="G945">
        <v>1.5</v>
      </c>
      <c r="H945">
        <v>2</v>
      </c>
    </row>
    <row r="946" spans="1:8" x14ac:dyDescent="0.25">
      <c r="A946" t="s">
        <v>968</v>
      </c>
      <c r="B946" t="s">
        <v>23</v>
      </c>
      <c r="C946">
        <v>80</v>
      </c>
      <c r="D946" t="s">
        <v>10</v>
      </c>
      <c r="E946" s="23">
        <v>45258</v>
      </c>
      <c r="F946">
        <v>148</v>
      </c>
      <c r="G946">
        <v>4.0999999999999996</v>
      </c>
      <c r="H946">
        <v>4</v>
      </c>
    </row>
    <row r="947" spans="1:8" x14ac:dyDescent="0.25">
      <c r="A947" t="s">
        <v>969</v>
      </c>
      <c r="B947" t="s">
        <v>22</v>
      </c>
      <c r="C947">
        <v>152</v>
      </c>
      <c r="D947" t="s">
        <v>9</v>
      </c>
      <c r="E947" s="23">
        <v>45258</v>
      </c>
      <c r="F947">
        <v>125</v>
      </c>
      <c r="G947">
        <v>3.9</v>
      </c>
      <c r="H947">
        <v>4</v>
      </c>
    </row>
    <row r="948" spans="1:8" x14ac:dyDescent="0.25">
      <c r="A948" t="s">
        <v>970</v>
      </c>
      <c r="B948" t="s">
        <v>18</v>
      </c>
      <c r="C948">
        <v>34</v>
      </c>
      <c r="D948" t="s">
        <v>11</v>
      </c>
      <c r="E948" s="23">
        <v>45258</v>
      </c>
      <c r="F948">
        <v>25</v>
      </c>
      <c r="G948">
        <v>4.0999999999999996</v>
      </c>
      <c r="H948">
        <v>4</v>
      </c>
    </row>
    <row r="949" spans="1:8" x14ac:dyDescent="0.25">
      <c r="A949" t="s">
        <v>971</v>
      </c>
      <c r="B949" t="s">
        <v>14</v>
      </c>
      <c r="C949">
        <v>2</v>
      </c>
      <c r="D949" t="s">
        <v>6</v>
      </c>
      <c r="E949" s="23">
        <v>45259</v>
      </c>
      <c r="F949">
        <v>62</v>
      </c>
      <c r="G949">
        <v>2.8</v>
      </c>
      <c r="H949">
        <v>3</v>
      </c>
    </row>
    <row r="950" spans="1:8" x14ac:dyDescent="0.25">
      <c r="A950" t="s">
        <v>972</v>
      </c>
      <c r="B950" t="s">
        <v>23</v>
      </c>
      <c r="C950">
        <v>140</v>
      </c>
      <c r="D950" t="s">
        <v>11</v>
      </c>
      <c r="E950" s="23">
        <v>45260</v>
      </c>
      <c r="F950">
        <v>90</v>
      </c>
      <c r="G950">
        <v>4.5999999999999996</v>
      </c>
      <c r="H950">
        <v>5</v>
      </c>
    </row>
    <row r="951" spans="1:8" x14ac:dyDescent="0.25">
      <c r="A951" t="s">
        <v>973</v>
      </c>
      <c r="B951" t="s">
        <v>12</v>
      </c>
      <c r="C951">
        <v>126</v>
      </c>
      <c r="D951" t="s">
        <v>13</v>
      </c>
      <c r="E951" s="23">
        <v>45261</v>
      </c>
      <c r="F951">
        <v>33</v>
      </c>
      <c r="G951">
        <v>4.8</v>
      </c>
      <c r="H951">
        <v>5</v>
      </c>
    </row>
    <row r="952" spans="1:8" x14ac:dyDescent="0.25">
      <c r="A952" t="s">
        <v>974</v>
      </c>
      <c r="B952" t="s">
        <v>21</v>
      </c>
      <c r="C952">
        <v>79</v>
      </c>
      <c r="D952" t="s">
        <v>6</v>
      </c>
      <c r="E952" s="23">
        <v>45261</v>
      </c>
      <c r="F952">
        <v>115</v>
      </c>
      <c r="G952">
        <v>2.2999999999999998</v>
      </c>
      <c r="H952">
        <v>2</v>
      </c>
    </row>
    <row r="953" spans="1:8" x14ac:dyDescent="0.25">
      <c r="A953" t="s">
        <v>975</v>
      </c>
      <c r="B953" t="s">
        <v>12</v>
      </c>
      <c r="C953">
        <v>133</v>
      </c>
      <c r="D953" t="s">
        <v>13</v>
      </c>
      <c r="E953" s="23">
        <v>45261</v>
      </c>
      <c r="F953">
        <v>45</v>
      </c>
      <c r="G953">
        <v>2.6</v>
      </c>
      <c r="H953">
        <v>3</v>
      </c>
    </row>
    <row r="954" spans="1:8" x14ac:dyDescent="0.25">
      <c r="A954" t="s">
        <v>976</v>
      </c>
      <c r="B954" t="s">
        <v>18</v>
      </c>
      <c r="C954">
        <v>97</v>
      </c>
      <c r="D954" t="s">
        <v>10</v>
      </c>
      <c r="E954" s="23">
        <v>45261</v>
      </c>
      <c r="F954">
        <v>114</v>
      </c>
      <c r="G954">
        <v>4.8</v>
      </c>
      <c r="H954">
        <v>5</v>
      </c>
    </row>
    <row r="955" spans="1:8" x14ac:dyDescent="0.25">
      <c r="A955" t="s">
        <v>977</v>
      </c>
      <c r="B955" t="s">
        <v>21</v>
      </c>
      <c r="C955">
        <v>102</v>
      </c>
      <c r="D955" t="s">
        <v>9</v>
      </c>
      <c r="E955" s="23">
        <v>45262</v>
      </c>
      <c r="F955">
        <v>72</v>
      </c>
      <c r="G955">
        <v>3.7</v>
      </c>
      <c r="H955">
        <v>4</v>
      </c>
    </row>
    <row r="956" spans="1:8" x14ac:dyDescent="0.25">
      <c r="A956" t="s">
        <v>978</v>
      </c>
      <c r="B956" t="s">
        <v>7</v>
      </c>
      <c r="C956">
        <v>62</v>
      </c>
      <c r="D956" t="s">
        <v>10</v>
      </c>
      <c r="E956" s="23">
        <v>45262</v>
      </c>
      <c r="F956">
        <v>205</v>
      </c>
      <c r="G956">
        <v>4.2</v>
      </c>
      <c r="H956">
        <v>4</v>
      </c>
    </row>
    <row r="957" spans="1:8" x14ac:dyDescent="0.25">
      <c r="A957" t="s">
        <v>979</v>
      </c>
      <c r="B957" t="s">
        <v>12</v>
      </c>
      <c r="C957">
        <v>149</v>
      </c>
      <c r="D957" t="s">
        <v>9</v>
      </c>
      <c r="E957" s="23">
        <v>45263</v>
      </c>
      <c r="F957">
        <v>42</v>
      </c>
      <c r="G957">
        <v>3.3</v>
      </c>
      <c r="H957">
        <v>3</v>
      </c>
    </row>
    <row r="958" spans="1:8" x14ac:dyDescent="0.25">
      <c r="A958" t="s">
        <v>980</v>
      </c>
      <c r="B958" t="s">
        <v>14</v>
      </c>
      <c r="C958">
        <v>133</v>
      </c>
      <c r="D958" t="s">
        <v>10</v>
      </c>
      <c r="E958" s="23">
        <v>45263</v>
      </c>
      <c r="F958">
        <v>96</v>
      </c>
      <c r="G958">
        <v>4.3</v>
      </c>
      <c r="H958">
        <v>4</v>
      </c>
    </row>
    <row r="959" spans="1:8" x14ac:dyDescent="0.25">
      <c r="A959" t="s">
        <v>981</v>
      </c>
      <c r="B959" t="s">
        <v>21</v>
      </c>
      <c r="C959">
        <v>51</v>
      </c>
      <c r="D959" t="s">
        <v>6</v>
      </c>
      <c r="E959" s="23">
        <v>45263</v>
      </c>
      <c r="F959">
        <v>64</v>
      </c>
      <c r="G959">
        <v>3.7</v>
      </c>
      <c r="H959">
        <v>4</v>
      </c>
    </row>
    <row r="960" spans="1:8" x14ac:dyDescent="0.25">
      <c r="A960" t="s">
        <v>982</v>
      </c>
      <c r="B960" t="s">
        <v>7</v>
      </c>
      <c r="C960">
        <v>110</v>
      </c>
      <c r="D960" t="s">
        <v>10</v>
      </c>
      <c r="E960" s="23">
        <v>45264</v>
      </c>
      <c r="F960">
        <v>72</v>
      </c>
      <c r="G960">
        <v>3.7</v>
      </c>
      <c r="H960">
        <v>4</v>
      </c>
    </row>
    <row r="961" spans="1:8" x14ac:dyDescent="0.25">
      <c r="A961" t="s">
        <v>983</v>
      </c>
      <c r="B961" t="s">
        <v>18</v>
      </c>
      <c r="C961">
        <v>38</v>
      </c>
      <c r="D961" t="s">
        <v>13</v>
      </c>
      <c r="E961" s="23">
        <v>45265</v>
      </c>
      <c r="F961">
        <v>27</v>
      </c>
      <c r="G961">
        <v>3.1</v>
      </c>
      <c r="H961">
        <v>3</v>
      </c>
    </row>
    <row r="962" spans="1:8" x14ac:dyDescent="0.25">
      <c r="A962" t="s">
        <v>984</v>
      </c>
      <c r="B962" t="s">
        <v>14</v>
      </c>
      <c r="C962">
        <v>78</v>
      </c>
      <c r="D962" t="s">
        <v>13</v>
      </c>
      <c r="E962" s="23">
        <v>45267</v>
      </c>
      <c r="F962">
        <v>200</v>
      </c>
      <c r="G962">
        <v>2.4</v>
      </c>
      <c r="H962">
        <v>2</v>
      </c>
    </row>
    <row r="963" spans="1:8" x14ac:dyDescent="0.25">
      <c r="A963" t="s">
        <v>985</v>
      </c>
      <c r="B963" t="s">
        <v>18</v>
      </c>
      <c r="C963">
        <v>25</v>
      </c>
      <c r="D963" t="s">
        <v>9</v>
      </c>
      <c r="E963" s="23">
        <v>45268</v>
      </c>
      <c r="F963">
        <v>93</v>
      </c>
      <c r="G963">
        <v>3.5</v>
      </c>
      <c r="H963">
        <v>4</v>
      </c>
    </row>
    <row r="964" spans="1:8" x14ac:dyDescent="0.25">
      <c r="A964" t="s">
        <v>986</v>
      </c>
      <c r="B964" t="s">
        <v>16</v>
      </c>
      <c r="C964">
        <v>50</v>
      </c>
      <c r="D964" t="s">
        <v>6</v>
      </c>
      <c r="E964" s="23">
        <v>45268</v>
      </c>
      <c r="F964">
        <v>54</v>
      </c>
      <c r="G964">
        <v>4.3</v>
      </c>
      <c r="H964">
        <v>4</v>
      </c>
    </row>
    <row r="965" spans="1:8" x14ac:dyDescent="0.25">
      <c r="A965" t="s">
        <v>987</v>
      </c>
      <c r="B965" t="s">
        <v>18</v>
      </c>
      <c r="C965">
        <v>103</v>
      </c>
      <c r="D965" t="s">
        <v>9</v>
      </c>
      <c r="E965" s="23">
        <v>45269</v>
      </c>
      <c r="F965">
        <v>72</v>
      </c>
      <c r="G965">
        <v>3.4</v>
      </c>
      <c r="H965">
        <v>3</v>
      </c>
    </row>
    <row r="966" spans="1:8" x14ac:dyDescent="0.25">
      <c r="A966" t="s">
        <v>988</v>
      </c>
      <c r="B966" t="s">
        <v>22</v>
      </c>
      <c r="C966">
        <v>63</v>
      </c>
      <c r="D966" t="s">
        <v>11</v>
      </c>
      <c r="E966" s="23">
        <v>45269</v>
      </c>
      <c r="F966">
        <v>82</v>
      </c>
      <c r="G966">
        <v>3.7</v>
      </c>
      <c r="H966">
        <v>4</v>
      </c>
    </row>
    <row r="967" spans="1:8" x14ac:dyDescent="0.25">
      <c r="A967" t="s">
        <v>989</v>
      </c>
      <c r="B967" t="s">
        <v>16</v>
      </c>
      <c r="C967">
        <v>96</v>
      </c>
      <c r="D967" t="s">
        <v>6</v>
      </c>
      <c r="E967" s="23">
        <v>45273</v>
      </c>
      <c r="F967">
        <v>164</v>
      </c>
      <c r="G967">
        <v>4.8</v>
      </c>
      <c r="H967">
        <v>5</v>
      </c>
    </row>
    <row r="968" spans="1:8" x14ac:dyDescent="0.25">
      <c r="A968" t="s">
        <v>990</v>
      </c>
      <c r="B968" t="s">
        <v>23</v>
      </c>
      <c r="C968">
        <v>94</v>
      </c>
      <c r="D968" t="s">
        <v>9</v>
      </c>
      <c r="E968" s="23">
        <v>45273</v>
      </c>
      <c r="F968">
        <v>78</v>
      </c>
      <c r="G968">
        <v>3.3</v>
      </c>
      <c r="H968">
        <v>3</v>
      </c>
    </row>
    <row r="969" spans="1:8" x14ac:dyDescent="0.25">
      <c r="A969" t="s">
        <v>991</v>
      </c>
      <c r="B969" t="s">
        <v>7</v>
      </c>
      <c r="C969">
        <v>46</v>
      </c>
      <c r="D969" t="s">
        <v>13</v>
      </c>
      <c r="E969" s="23">
        <v>45274</v>
      </c>
      <c r="F969">
        <v>135</v>
      </c>
      <c r="G969">
        <v>4.2</v>
      </c>
      <c r="H969">
        <v>4</v>
      </c>
    </row>
    <row r="970" spans="1:8" x14ac:dyDescent="0.25">
      <c r="A970" t="s">
        <v>992</v>
      </c>
      <c r="B970" t="s">
        <v>5</v>
      </c>
      <c r="C970">
        <v>127</v>
      </c>
      <c r="D970" t="s">
        <v>6</v>
      </c>
      <c r="E970" s="23">
        <v>45275</v>
      </c>
      <c r="F970">
        <v>145</v>
      </c>
      <c r="G970">
        <v>2.6</v>
      </c>
      <c r="H970">
        <v>3</v>
      </c>
    </row>
    <row r="971" spans="1:8" x14ac:dyDescent="0.25">
      <c r="A971" t="s">
        <v>993</v>
      </c>
      <c r="B971" t="s">
        <v>15</v>
      </c>
      <c r="C971">
        <v>96</v>
      </c>
      <c r="D971" t="s">
        <v>13</v>
      </c>
      <c r="E971" s="23">
        <v>45275</v>
      </c>
      <c r="F971">
        <v>115</v>
      </c>
      <c r="G971">
        <v>4.9000000000000004</v>
      </c>
      <c r="H971">
        <v>5</v>
      </c>
    </row>
    <row r="972" spans="1:8" x14ac:dyDescent="0.25">
      <c r="A972" t="s">
        <v>1004</v>
      </c>
      <c r="B972" t="s">
        <v>17</v>
      </c>
      <c r="C972">
        <v>151</v>
      </c>
      <c r="D972" t="s">
        <v>9</v>
      </c>
      <c r="E972" s="23">
        <v>45275</v>
      </c>
      <c r="F972">
        <v>117</v>
      </c>
      <c r="G972">
        <v>2</v>
      </c>
      <c r="H972">
        <v>2</v>
      </c>
    </row>
    <row r="973" spans="1:8" x14ac:dyDescent="0.25">
      <c r="A973" t="s">
        <v>1005</v>
      </c>
      <c r="B973" t="s">
        <v>5</v>
      </c>
      <c r="C973">
        <v>158</v>
      </c>
      <c r="D973" t="s">
        <v>10</v>
      </c>
      <c r="E973" s="23">
        <v>45276</v>
      </c>
      <c r="F973">
        <v>36</v>
      </c>
      <c r="G973">
        <v>4.7</v>
      </c>
      <c r="H973">
        <v>5</v>
      </c>
    </row>
    <row r="974" spans="1:8" x14ac:dyDescent="0.25">
      <c r="A974" t="s">
        <v>1006</v>
      </c>
      <c r="B974" t="s">
        <v>23</v>
      </c>
      <c r="C974">
        <v>45</v>
      </c>
      <c r="D974" t="s">
        <v>10</v>
      </c>
      <c r="E974" s="23">
        <v>45276</v>
      </c>
      <c r="F974">
        <v>84</v>
      </c>
      <c r="G974">
        <v>2.8</v>
      </c>
      <c r="H974">
        <v>3</v>
      </c>
    </row>
    <row r="975" spans="1:8" x14ac:dyDescent="0.25">
      <c r="A975" t="s">
        <v>1007</v>
      </c>
      <c r="B975" t="s">
        <v>24</v>
      </c>
      <c r="C975">
        <v>141</v>
      </c>
      <c r="D975" t="s">
        <v>10</v>
      </c>
      <c r="E975" s="23">
        <v>45276</v>
      </c>
      <c r="F975">
        <v>66</v>
      </c>
      <c r="G975">
        <v>3.2</v>
      </c>
      <c r="H975">
        <v>3</v>
      </c>
    </row>
    <row r="976" spans="1:8" x14ac:dyDescent="0.25">
      <c r="A976" t="s">
        <v>1008</v>
      </c>
      <c r="B976" t="s">
        <v>18</v>
      </c>
      <c r="C976">
        <v>147</v>
      </c>
      <c r="D976" t="s">
        <v>13</v>
      </c>
      <c r="E976" s="23">
        <v>45276</v>
      </c>
      <c r="F976">
        <v>76</v>
      </c>
      <c r="G976">
        <v>4.7</v>
      </c>
      <c r="H976">
        <v>5</v>
      </c>
    </row>
    <row r="977" spans="1:8" x14ac:dyDescent="0.25">
      <c r="A977" t="s">
        <v>1009</v>
      </c>
      <c r="B977" t="s">
        <v>19</v>
      </c>
      <c r="C977">
        <v>126</v>
      </c>
      <c r="D977" t="s">
        <v>13</v>
      </c>
      <c r="E977" s="23">
        <v>45276</v>
      </c>
      <c r="F977">
        <v>185</v>
      </c>
      <c r="G977">
        <v>4.8</v>
      </c>
      <c r="H977">
        <v>5</v>
      </c>
    </row>
    <row r="978" spans="1:8" x14ac:dyDescent="0.25">
      <c r="A978" t="s">
        <v>1010</v>
      </c>
      <c r="B978" t="s">
        <v>23</v>
      </c>
      <c r="C978">
        <v>126</v>
      </c>
      <c r="D978" t="s">
        <v>11</v>
      </c>
      <c r="E978" s="23">
        <v>45277</v>
      </c>
      <c r="F978">
        <v>80</v>
      </c>
      <c r="G978">
        <v>4.7</v>
      </c>
      <c r="H978">
        <v>5</v>
      </c>
    </row>
    <row r="979" spans="1:8" x14ac:dyDescent="0.25">
      <c r="A979" t="s">
        <v>1011</v>
      </c>
      <c r="B979" t="s">
        <v>14</v>
      </c>
      <c r="C979">
        <v>32</v>
      </c>
      <c r="D979" t="s">
        <v>13</v>
      </c>
      <c r="E979" s="23">
        <v>45277</v>
      </c>
      <c r="F979">
        <v>148</v>
      </c>
      <c r="G979">
        <v>4</v>
      </c>
      <c r="H979">
        <v>4</v>
      </c>
    </row>
    <row r="980" spans="1:8" x14ac:dyDescent="0.25">
      <c r="A980" t="s">
        <v>1012</v>
      </c>
      <c r="B980" t="s">
        <v>23</v>
      </c>
      <c r="C980">
        <v>84</v>
      </c>
      <c r="D980" t="s">
        <v>6</v>
      </c>
      <c r="E980" s="23">
        <v>45279</v>
      </c>
      <c r="F980">
        <v>180</v>
      </c>
      <c r="G980">
        <v>4.9000000000000004</v>
      </c>
      <c r="H980">
        <v>5</v>
      </c>
    </row>
    <row r="981" spans="1:8" x14ac:dyDescent="0.25">
      <c r="A981" t="s">
        <v>1013</v>
      </c>
      <c r="B981" t="s">
        <v>22</v>
      </c>
      <c r="C981">
        <v>120</v>
      </c>
      <c r="D981" t="s">
        <v>11</v>
      </c>
      <c r="E981" s="23">
        <v>45280</v>
      </c>
      <c r="F981">
        <v>190</v>
      </c>
      <c r="G981">
        <v>3.7</v>
      </c>
      <c r="H981">
        <v>4</v>
      </c>
    </row>
    <row r="982" spans="1:8" x14ac:dyDescent="0.25">
      <c r="A982" t="s">
        <v>1014</v>
      </c>
      <c r="B982" t="s">
        <v>8</v>
      </c>
      <c r="C982">
        <v>93</v>
      </c>
      <c r="D982" t="s">
        <v>13</v>
      </c>
      <c r="E982" s="23">
        <v>45280</v>
      </c>
      <c r="F982">
        <v>38</v>
      </c>
      <c r="G982">
        <v>4.5</v>
      </c>
      <c r="H982">
        <v>5</v>
      </c>
    </row>
    <row r="983" spans="1:8" x14ac:dyDescent="0.25">
      <c r="A983" t="s">
        <v>1015</v>
      </c>
      <c r="B983" t="s">
        <v>15</v>
      </c>
      <c r="C983">
        <v>76</v>
      </c>
      <c r="D983" t="s">
        <v>9</v>
      </c>
      <c r="E983" s="23">
        <v>45281</v>
      </c>
      <c r="F983">
        <v>82</v>
      </c>
      <c r="G983">
        <v>2.1</v>
      </c>
      <c r="H983">
        <v>2</v>
      </c>
    </row>
    <row r="984" spans="1:8" x14ac:dyDescent="0.25">
      <c r="A984" t="s">
        <v>1016</v>
      </c>
      <c r="B984" t="s">
        <v>5</v>
      </c>
      <c r="C984">
        <v>89</v>
      </c>
      <c r="D984" t="s">
        <v>13</v>
      </c>
      <c r="E984" s="23">
        <v>45284</v>
      </c>
      <c r="F984">
        <v>88</v>
      </c>
      <c r="G984">
        <v>2.8</v>
      </c>
      <c r="H984">
        <v>3</v>
      </c>
    </row>
    <row r="985" spans="1:8" x14ac:dyDescent="0.25">
      <c r="A985" t="s">
        <v>1017</v>
      </c>
      <c r="B985" t="s">
        <v>21</v>
      </c>
      <c r="C985">
        <v>91</v>
      </c>
      <c r="D985" t="s">
        <v>6</v>
      </c>
      <c r="E985" s="23">
        <v>45284</v>
      </c>
      <c r="F985">
        <v>42</v>
      </c>
      <c r="G985">
        <v>4.0999999999999996</v>
      </c>
      <c r="H985">
        <v>4</v>
      </c>
    </row>
    <row r="986" spans="1:8" x14ac:dyDescent="0.25">
      <c r="A986" t="s">
        <v>1018</v>
      </c>
      <c r="B986" t="s">
        <v>7</v>
      </c>
      <c r="C986">
        <v>7</v>
      </c>
      <c r="D986" t="s">
        <v>10</v>
      </c>
      <c r="E986" s="23">
        <v>45285</v>
      </c>
      <c r="F986">
        <v>64</v>
      </c>
      <c r="G986">
        <v>3.3</v>
      </c>
      <c r="H986">
        <v>3</v>
      </c>
    </row>
    <row r="987" spans="1:8" x14ac:dyDescent="0.25">
      <c r="A987" t="s">
        <v>1019</v>
      </c>
      <c r="B987" t="s">
        <v>14</v>
      </c>
      <c r="C987">
        <v>140</v>
      </c>
      <c r="D987" t="s">
        <v>10</v>
      </c>
      <c r="E987" s="23">
        <v>45285</v>
      </c>
      <c r="F987">
        <v>105</v>
      </c>
      <c r="G987">
        <v>1.7</v>
      </c>
      <c r="H987">
        <v>2</v>
      </c>
    </row>
    <row r="988" spans="1:8" x14ac:dyDescent="0.25">
      <c r="A988" t="s">
        <v>1020</v>
      </c>
      <c r="B988" t="s">
        <v>12</v>
      </c>
      <c r="C988">
        <v>58</v>
      </c>
      <c r="D988" t="s">
        <v>11</v>
      </c>
      <c r="E988" s="23">
        <v>45285</v>
      </c>
      <c r="F988">
        <v>25</v>
      </c>
      <c r="G988">
        <v>3.6</v>
      </c>
      <c r="H988">
        <v>4</v>
      </c>
    </row>
    <row r="989" spans="1:8" x14ac:dyDescent="0.25">
      <c r="A989" t="s">
        <v>1021</v>
      </c>
      <c r="B989" t="s">
        <v>20</v>
      </c>
      <c r="C989">
        <v>90</v>
      </c>
      <c r="D989" t="s">
        <v>9</v>
      </c>
      <c r="E989" s="23">
        <v>45286</v>
      </c>
      <c r="F989">
        <v>176</v>
      </c>
      <c r="G989">
        <v>3.6</v>
      </c>
      <c r="H989">
        <v>4</v>
      </c>
    </row>
    <row r="990" spans="1:8" x14ac:dyDescent="0.25">
      <c r="A990" t="s">
        <v>1022</v>
      </c>
      <c r="B990" t="s">
        <v>20</v>
      </c>
      <c r="C990">
        <v>106</v>
      </c>
      <c r="D990" t="s">
        <v>13</v>
      </c>
      <c r="E990" s="23">
        <v>45287</v>
      </c>
      <c r="F990">
        <v>46</v>
      </c>
      <c r="G990">
        <v>4.5999999999999996</v>
      </c>
      <c r="H990">
        <v>5</v>
      </c>
    </row>
    <row r="991" spans="1:8" x14ac:dyDescent="0.25">
      <c r="A991" t="s">
        <v>1023</v>
      </c>
      <c r="B991" t="s">
        <v>22</v>
      </c>
      <c r="C991">
        <v>72</v>
      </c>
      <c r="D991" t="s">
        <v>10</v>
      </c>
      <c r="E991" s="23">
        <v>45287</v>
      </c>
      <c r="F991">
        <v>164</v>
      </c>
      <c r="G991">
        <v>4.8</v>
      </c>
      <c r="H991">
        <v>5</v>
      </c>
    </row>
    <row r="992" spans="1:8" x14ac:dyDescent="0.25">
      <c r="A992" t="s">
        <v>1024</v>
      </c>
      <c r="B992" t="s">
        <v>7</v>
      </c>
      <c r="C992">
        <v>124</v>
      </c>
      <c r="D992" t="s">
        <v>10</v>
      </c>
      <c r="E992" s="23">
        <v>45288</v>
      </c>
      <c r="F992">
        <v>64</v>
      </c>
      <c r="G992">
        <v>4.5</v>
      </c>
      <c r="H992">
        <v>5</v>
      </c>
    </row>
    <row r="993" spans="1:8" x14ac:dyDescent="0.25">
      <c r="A993" t="s">
        <v>1025</v>
      </c>
      <c r="B993" t="s">
        <v>24</v>
      </c>
      <c r="C993">
        <v>86</v>
      </c>
      <c r="D993" t="s">
        <v>6</v>
      </c>
      <c r="E993" s="23">
        <v>45288</v>
      </c>
      <c r="F993">
        <v>205</v>
      </c>
      <c r="G993">
        <v>4.5</v>
      </c>
      <c r="H993">
        <v>5</v>
      </c>
    </row>
    <row r="994" spans="1:8" x14ac:dyDescent="0.25">
      <c r="A994" t="s">
        <v>1026</v>
      </c>
      <c r="B994" t="s">
        <v>23</v>
      </c>
      <c r="C994">
        <v>164</v>
      </c>
      <c r="D994" t="s">
        <v>6</v>
      </c>
      <c r="E994" s="23">
        <v>45289</v>
      </c>
      <c r="F994">
        <v>100</v>
      </c>
      <c r="G994">
        <v>4.5999999999999996</v>
      </c>
      <c r="H994">
        <v>5</v>
      </c>
    </row>
    <row r="995" spans="1:8" x14ac:dyDescent="0.25">
      <c r="A995" t="s">
        <v>1027</v>
      </c>
      <c r="B995" t="s">
        <v>8</v>
      </c>
      <c r="C995">
        <v>40</v>
      </c>
      <c r="D995" t="s">
        <v>9</v>
      </c>
      <c r="E995" s="23">
        <v>45289</v>
      </c>
      <c r="F995">
        <v>111</v>
      </c>
      <c r="G995">
        <v>4.5999999999999996</v>
      </c>
      <c r="H995">
        <v>5</v>
      </c>
    </row>
    <row r="996" spans="1:8" x14ac:dyDescent="0.25">
      <c r="A996" t="s">
        <v>1028</v>
      </c>
      <c r="B996" t="s">
        <v>21</v>
      </c>
      <c r="C996">
        <v>76</v>
      </c>
      <c r="D996" t="s">
        <v>11</v>
      </c>
      <c r="E996" s="23">
        <v>45289</v>
      </c>
      <c r="F996">
        <v>80</v>
      </c>
      <c r="G996">
        <v>3.5</v>
      </c>
      <c r="H996">
        <v>4</v>
      </c>
    </row>
    <row r="997" spans="1:8" x14ac:dyDescent="0.25">
      <c r="A997" t="s">
        <v>1029</v>
      </c>
      <c r="B997" t="s">
        <v>7</v>
      </c>
      <c r="C997">
        <v>95</v>
      </c>
      <c r="D997" t="s">
        <v>13</v>
      </c>
      <c r="E997" s="23">
        <v>45289</v>
      </c>
      <c r="F997">
        <v>50</v>
      </c>
      <c r="G997">
        <v>2.9</v>
      </c>
      <c r="H997">
        <v>3</v>
      </c>
    </row>
    <row r="998" spans="1:8" x14ac:dyDescent="0.25">
      <c r="A998" t="s">
        <v>1030</v>
      </c>
      <c r="B998" t="s">
        <v>21</v>
      </c>
      <c r="C998">
        <v>113</v>
      </c>
      <c r="D998" t="s">
        <v>10</v>
      </c>
      <c r="E998" s="23">
        <v>45290</v>
      </c>
      <c r="F998">
        <v>165</v>
      </c>
      <c r="G998">
        <v>4.7</v>
      </c>
      <c r="H998">
        <v>5</v>
      </c>
    </row>
    <row r="999" spans="1:8" x14ac:dyDescent="0.25">
      <c r="A999" t="s">
        <v>1031</v>
      </c>
      <c r="B999" t="s">
        <v>24</v>
      </c>
      <c r="C999">
        <v>81</v>
      </c>
      <c r="D999" t="s">
        <v>10</v>
      </c>
      <c r="E999" s="23">
        <v>45290</v>
      </c>
      <c r="F999">
        <v>28</v>
      </c>
      <c r="G999">
        <v>3.9</v>
      </c>
      <c r="H999">
        <v>4</v>
      </c>
    </row>
    <row r="1000" spans="1:8" x14ac:dyDescent="0.25">
      <c r="A1000" t="s">
        <v>1032</v>
      </c>
      <c r="B1000" t="s">
        <v>15</v>
      </c>
      <c r="C1000">
        <v>127</v>
      </c>
      <c r="D1000" t="s">
        <v>13</v>
      </c>
      <c r="E1000" s="23">
        <v>45290</v>
      </c>
      <c r="F1000">
        <v>215</v>
      </c>
      <c r="G1000">
        <v>3.8</v>
      </c>
      <c r="H1000">
        <v>4</v>
      </c>
    </row>
    <row r="1001" spans="1:8" x14ac:dyDescent="0.25">
      <c r="A1001" t="s">
        <v>1033</v>
      </c>
      <c r="B1001" t="s">
        <v>14</v>
      </c>
      <c r="C1001">
        <v>146</v>
      </c>
      <c r="D1001" t="s">
        <v>10</v>
      </c>
      <c r="E1001" s="23">
        <v>45291</v>
      </c>
      <c r="F1001">
        <v>115</v>
      </c>
      <c r="G1001">
        <v>2.2999999999999998</v>
      </c>
      <c r="H1001">
        <v>2</v>
      </c>
    </row>
    <row r="1002" spans="1:8" x14ac:dyDescent="0.25">
      <c r="A1002" t="s">
        <v>1034</v>
      </c>
      <c r="B1002" t="s">
        <v>18</v>
      </c>
      <c r="C1002">
        <v>123</v>
      </c>
      <c r="D1002" t="s">
        <v>10</v>
      </c>
      <c r="E1002" s="23">
        <v>45291</v>
      </c>
      <c r="F1002">
        <v>64</v>
      </c>
      <c r="G1002">
        <v>3.7</v>
      </c>
      <c r="H1002">
        <v>4</v>
      </c>
    </row>
    <row r="1003" spans="1:8" x14ac:dyDescent="0.25">
      <c r="A1003" t="s">
        <v>1035</v>
      </c>
      <c r="B1003" t="s">
        <v>22</v>
      </c>
      <c r="C1003">
        <v>114</v>
      </c>
      <c r="D1003" t="s">
        <v>11</v>
      </c>
      <c r="E1003" s="23">
        <v>45291</v>
      </c>
      <c r="F1003">
        <v>40</v>
      </c>
      <c r="G1003">
        <v>3.9</v>
      </c>
      <c r="H1003">
        <v>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61B68-5DE9-49F8-9E32-EF9AA3520F31}">
  <dimension ref="A3:J101"/>
  <sheetViews>
    <sheetView zoomScale="106" zoomScaleNormal="106" workbookViewId="0">
      <selection activeCell="S18" sqref="S18:W36"/>
    </sheetView>
  </sheetViews>
  <sheetFormatPr defaultRowHeight="13.8" x14ac:dyDescent="0.25"/>
  <cols>
    <col min="1" max="1" width="13.69921875" bestFit="1" customWidth="1"/>
    <col min="2" max="2" width="10.8984375" bestFit="1" customWidth="1"/>
    <col min="3" max="3" width="12" bestFit="1" customWidth="1"/>
    <col min="4" max="4" width="13.69921875" bestFit="1" customWidth="1"/>
    <col min="5" max="5" width="8.09765625" bestFit="1" customWidth="1"/>
    <col min="6" max="6" width="13.69921875" bestFit="1" customWidth="1"/>
    <col min="7" max="7" width="10.8984375" bestFit="1" customWidth="1"/>
    <col min="8" max="8" width="12" bestFit="1" customWidth="1"/>
  </cols>
  <sheetData>
    <row r="3" spans="1:5" x14ac:dyDescent="0.25">
      <c r="A3" t="s">
        <v>1057</v>
      </c>
      <c r="B3" t="s">
        <v>1058</v>
      </c>
      <c r="C3" t="s">
        <v>1059</v>
      </c>
      <c r="D3" t="s">
        <v>1060</v>
      </c>
      <c r="E3" t="s">
        <v>1062</v>
      </c>
    </row>
    <row r="4" spans="1:5" x14ac:dyDescent="0.25">
      <c r="A4" s="27">
        <v>1000</v>
      </c>
      <c r="B4" s="22">
        <v>96623</v>
      </c>
      <c r="C4" s="27">
        <v>89850</v>
      </c>
      <c r="D4" s="28">
        <v>3.8854000000000033</v>
      </c>
      <c r="E4">
        <v>307</v>
      </c>
    </row>
    <row r="7" spans="1:5" x14ac:dyDescent="0.25">
      <c r="A7" t="s">
        <v>1057</v>
      </c>
      <c r="B7" t="s">
        <v>1058</v>
      </c>
      <c r="C7" t="s">
        <v>1059</v>
      </c>
      <c r="D7" t="s">
        <v>1060</v>
      </c>
      <c r="E7" t="s">
        <v>1062</v>
      </c>
    </row>
    <row r="8" spans="1:5" x14ac:dyDescent="0.25">
      <c r="A8" s="27">
        <v>218</v>
      </c>
      <c r="B8" s="22">
        <v>20581</v>
      </c>
      <c r="C8" s="27">
        <v>19300</v>
      </c>
      <c r="D8" s="28">
        <v>3.8706422018348627</v>
      </c>
      <c r="E8">
        <v>74</v>
      </c>
    </row>
    <row r="18" spans="1:7" x14ac:dyDescent="0.25">
      <c r="A18" s="20" t="s">
        <v>1036</v>
      </c>
      <c r="B18" t="s">
        <v>1057</v>
      </c>
      <c r="C18" t="s">
        <v>1073</v>
      </c>
      <c r="F18" s="20" t="s">
        <v>1036</v>
      </c>
      <c r="G18" t="s">
        <v>1057</v>
      </c>
    </row>
    <row r="19" spans="1:7" x14ac:dyDescent="0.25">
      <c r="A19" s="21" t="s">
        <v>1045</v>
      </c>
      <c r="B19" s="27">
        <v>19</v>
      </c>
      <c r="C19" s="27">
        <v>19</v>
      </c>
      <c r="F19" s="21" t="s">
        <v>1078</v>
      </c>
      <c r="G19" s="27">
        <v>28</v>
      </c>
    </row>
    <row r="20" spans="1:7" x14ac:dyDescent="0.25">
      <c r="A20" s="21" t="s">
        <v>1046</v>
      </c>
      <c r="B20" s="27">
        <v>10</v>
      </c>
      <c r="C20" s="27">
        <v>10</v>
      </c>
      <c r="F20" s="21" t="s">
        <v>1076</v>
      </c>
      <c r="G20" s="27">
        <v>24</v>
      </c>
    </row>
    <row r="21" spans="1:7" x14ac:dyDescent="0.25">
      <c r="A21" s="21" t="s">
        <v>1047</v>
      </c>
      <c r="B21" s="27">
        <v>40</v>
      </c>
      <c r="C21" s="27">
        <v>40</v>
      </c>
      <c r="F21" s="21" t="s">
        <v>1080</v>
      </c>
      <c r="G21" s="27">
        <v>44</v>
      </c>
    </row>
    <row r="22" spans="1:7" x14ac:dyDescent="0.25">
      <c r="A22" s="21" t="s">
        <v>1048</v>
      </c>
      <c r="B22" s="27">
        <v>40</v>
      </c>
      <c r="C22" s="27">
        <v>40</v>
      </c>
      <c r="F22" s="21" t="s">
        <v>1081</v>
      </c>
      <c r="G22" s="27">
        <v>36</v>
      </c>
    </row>
    <row r="23" spans="1:7" x14ac:dyDescent="0.25">
      <c r="A23" s="21" t="s">
        <v>1054</v>
      </c>
      <c r="B23" s="27">
        <v>13</v>
      </c>
      <c r="C23" s="27">
        <v>13</v>
      </c>
      <c r="F23" s="21" t="s">
        <v>1079</v>
      </c>
      <c r="G23" s="27">
        <v>33</v>
      </c>
    </row>
    <row r="24" spans="1:7" x14ac:dyDescent="0.25">
      <c r="A24" s="21" t="s">
        <v>1055</v>
      </c>
      <c r="B24" s="27">
        <v>12</v>
      </c>
      <c r="C24" s="27">
        <v>12</v>
      </c>
      <c r="F24" s="21" t="s">
        <v>1075</v>
      </c>
      <c r="G24" s="27">
        <v>29</v>
      </c>
    </row>
    <row r="25" spans="1:7" x14ac:dyDescent="0.25">
      <c r="A25" s="21" t="s">
        <v>1049</v>
      </c>
      <c r="B25" s="27">
        <v>9</v>
      </c>
      <c r="C25" s="27">
        <v>9</v>
      </c>
      <c r="F25" s="21" t="s">
        <v>1077</v>
      </c>
      <c r="G25" s="27">
        <v>24</v>
      </c>
    </row>
    <row r="26" spans="1:7" x14ac:dyDescent="0.25">
      <c r="A26" s="21" t="s">
        <v>1050</v>
      </c>
      <c r="B26" s="27">
        <v>13</v>
      </c>
      <c r="C26" s="27">
        <v>13</v>
      </c>
      <c r="F26" s="21" t="s">
        <v>1037</v>
      </c>
      <c r="G26" s="27">
        <v>218</v>
      </c>
    </row>
    <row r="27" spans="1:7" x14ac:dyDescent="0.25">
      <c r="A27" s="21" t="s">
        <v>1051</v>
      </c>
      <c r="B27" s="27">
        <v>18</v>
      </c>
      <c r="C27" s="27">
        <v>18</v>
      </c>
    </row>
    <row r="28" spans="1:7" x14ac:dyDescent="0.25">
      <c r="A28" s="21" t="s">
        <v>1052</v>
      </c>
      <c r="B28" s="27">
        <v>21</v>
      </c>
      <c r="C28" s="27">
        <v>21</v>
      </c>
    </row>
    <row r="29" spans="1:7" x14ac:dyDescent="0.25">
      <c r="A29" s="21" t="s">
        <v>1053</v>
      </c>
      <c r="B29" s="27">
        <v>14</v>
      </c>
      <c r="C29" s="27">
        <v>14</v>
      </c>
    </row>
    <row r="30" spans="1:7" x14ac:dyDescent="0.25">
      <c r="A30" s="21" t="s">
        <v>1056</v>
      </c>
      <c r="B30" s="27">
        <v>9</v>
      </c>
      <c r="C30" s="27">
        <v>9</v>
      </c>
    </row>
    <row r="31" spans="1:7" x14ac:dyDescent="0.25">
      <c r="A31" s="21" t="s">
        <v>1037</v>
      </c>
      <c r="B31" s="27">
        <v>218</v>
      </c>
      <c r="C31" s="27">
        <v>218</v>
      </c>
    </row>
    <row r="36" spans="1:10" x14ac:dyDescent="0.25">
      <c r="I36" t="s">
        <v>1083</v>
      </c>
      <c r="J36" t="str">
        <f>D49</f>
        <v>R02</v>
      </c>
    </row>
    <row r="37" spans="1:10" x14ac:dyDescent="0.25">
      <c r="A37" s="20" t="s">
        <v>1036</v>
      </c>
      <c r="B37" t="s">
        <v>1057</v>
      </c>
      <c r="C37" t="s">
        <v>1058</v>
      </c>
      <c r="F37" t="s">
        <v>1082</v>
      </c>
      <c r="I37" t="s">
        <v>1084</v>
      </c>
      <c r="J37" t="s">
        <v>1085</v>
      </c>
    </row>
    <row r="38" spans="1:10" x14ac:dyDescent="0.25">
      <c r="A38" s="21" t="s">
        <v>11</v>
      </c>
      <c r="B38" s="27">
        <v>189</v>
      </c>
      <c r="C38">
        <v>18415</v>
      </c>
      <c r="F38" t="str" cm="1">
        <f t="array" ref="F38:H42">A38:C42</f>
        <v>R01</v>
      </c>
      <c r="G38">
        <v>189</v>
      </c>
      <c r="H38" s="22">
        <v>18415</v>
      </c>
      <c r="I38" t="e">
        <f>IF(F38=$J$36,G38,NA())</f>
        <v>#N/A</v>
      </c>
      <c r="J38" t="e">
        <f>IF(F38=$J$36,H38,NA())</f>
        <v>#N/A</v>
      </c>
    </row>
    <row r="39" spans="1:10" x14ac:dyDescent="0.25">
      <c r="A39" s="21" t="s">
        <v>9</v>
      </c>
      <c r="B39" s="27">
        <v>218</v>
      </c>
      <c r="C39">
        <v>20581</v>
      </c>
      <c r="F39" t="str">
        <v>R02</v>
      </c>
      <c r="G39">
        <v>218</v>
      </c>
      <c r="H39" s="22">
        <v>20581</v>
      </c>
      <c r="I39">
        <f t="shared" ref="I39:I42" si="0">IF(F39=$J$36,G39,NA())</f>
        <v>218</v>
      </c>
      <c r="J39">
        <f t="shared" ref="J39:J42" si="1">IF(F39=$J$36,H39,NA())</f>
        <v>20581</v>
      </c>
    </row>
    <row r="40" spans="1:10" x14ac:dyDescent="0.25">
      <c r="A40" s="21" t="s">
        <v>6</v>
      </c>
      <c r="B40" s="27">
        <v>207</v>
      </c>
      <c r="C40">
        <v>20872</v>
      </c>
      <c r="F40" t="str">
        <v>R03</v>
      </c>
      <c r="G40">
        <v>207</v>
      </c>
      <c r="H40" s="22">
        <v>20872</v>
      </c>
      <c r="I40" t="e">
        <f t="shared" si="0"/>
        <v>#N/A</v>
      </c>
      <c r="J40" t="e">
        <f t="shared" si="1"/>
        <v>#N/A</v>
      </c>
    </row>
    <row r="41" spans="1:10" x14ac:dyDescent="0.25">
      <c r="A41" s="21" t="s">
        <v>13</v>
      </c>
      <c r="B41" s="27">
        <v>186</v>
      </c>
      <c r="C41">
        <v>16651</v>
      </c>
      <c r="F41" t="str">
        <v>R04</v>
      </c>
      <c r="G41">
        <v>186</v>
      </c>
      <c r="H41" s="22">
        <v>16651</v>
      </c>
      <c r="I41" t="e">
        <f t="shared" si="0"/>
        <v>#N/A</v>
      </c>
      <c r="J41" t="e">
        <f t="shared" si="1"/>
        <v>#N/A</v>
      </c>
    </row>
    <row r="42" spans="1:10" x14ac:dyDescent="0.25">
      <c r="A42" s="21" t="s">
        <v>10</v>
      </c>
      <c r="B42" s="27">
        <v>200</v>
      </c>
      <c r="C42">
        <v>20104</v>
      </c>
      <c r="F42" t="str">
        <v>R05</v>
      </c>
      <c r="G42">
        <v>200</v>
      </c>
      <c r="H42" s="22">
        <v>20104</v>
      </c>
      <c r="I42" t="e">
        <f t="shared" si="0"/>
        <v>#N/A</v>
      </c>
      <c r="J42" t="e">
        <f t="shared" si="1"/>
        <v>#N/A</v>
      </c>
    </row>
    <row r="43" spans="1:10" x14ac:dyDescent="0.25">
      <c r="A43" s="21" t="s">
        <v>1037</v>
      </c>
      <c r="B43" s="27">
        <v>1000</v>
      </c>
      <c r="C43">
        <v>96623</v>
      </c>
      <c r="H43" s="29"/>
    </row>
    <row r="48" spans="1:10" x14ac:dyDescent="0.25">
      <c r="D48" s="20" t="s">
        <v>1036</v>
      </c>
    </row>
    <row r="49" spans="1:4" x14ac:dyDescent="0.25">
      <c r="D49" s="21" t="s">
        <v>9</v>
      </c>
    </row>
    <row r="64" spans="1:4" x14ac:dyDescent="0.25">
      <c r="A64" s="20" t="s">
        <v>1057</v>
      </c>
      <c r="B64" s="20" t="s">
        <v>1086</v>
      </c>
    </row>
    <row r="65" spans="1:4" x14ac:dyDescent="0.25">
      <c r="A65" s="20" t="s">
        <v>1036</v>
      </c>
      <c r="B65" t="s">
        <v>999</v>
      </c>
      <c r="C65" t="s">
        <v>998</v>
      </c>
      <c r="D65" t="s">
        <v>1037</v>
      </c>
    </row>
    <row r="66" spans="1:4" x14ac:dyDescent="0.25">
      <c r="A66" s="21" t="s">
        <v>1002</v>
      </c>
      <c r="B66" s="27">
        <v>144</v>
      </c>
      <c r="C66" s="27">
        <v>132</v>
      </c>
      <c r="D66" s="27">
        <v>276</v>
      </c>
    </row>
    <row r="67" spans="1:4" x14ac:dyDescent="0.25">
      <c r="A67" s="21" t="s">
        <v>1001</v>
      </c>
      <c r="B67" s="27">
        <v>326</v>
      </c>
      <c r="C67" s="27">
        <v>63</v>
      </c>
      <c r="D67" s="27">
        <v>389</v>
      </c>
    </row>
    <row r="68" spans="1:4" x14ac:dyDescent="0.25">
      <c r="A68" s="21" t="s">
        <v>1000</v>
      </c>
      <c r="B68" s="27">
        <v>129</v>
      </c>
      <c r="C68" s="27">
        <v>206</v>
      </c>
      <c r="D68" s="27">
        <v>335</v>
      </c>
    </row>
    <row r="69" spans="1:4" x14ac:dyDescent="0.25">
      <c r="A69" s="21" t="s">
        <v>1037</v>
      </c>
      <c r="B69" s="27">
        <v>599</v>
      </c>
      <c r="C69" s="27">
        <v>401</v>
      </c>
      <c r="D69" s="27">
        <v>1000</v>
      </c>
    </row>
    <row r="73" spans="1:4" x14ac:dyDescent="0.25">
      <c r="A73" s="20" t="s">
        <v>1036</v>
      </c>
      <c r="B73" t="s">
        <v>1057</v>
      </c>
    </row>
    <row r="74" spans="1:4" x14ac:dyDescent="0.25">
      <c r="A74" s="21">
        <v>1</v>
      </c>
      <c r="B74" s="27">
        <v>3</v>
      </c>
    </row>
    <row r="75" spans="1:4" x14ac:dyDescent="0.25">
      <c r="A75" s="21">
        <v>2</v>
      </c>
      <c r="B75" s="27">
        <v>19</v>
      </c>
    </row>
    <row r="76" spans="1:4" x14ac:dyDescent="0.25">
      <c r="A76" s="21">
        <v>3</v>
      </c>
      <c r="B76" s="27">
        <v>35</v>
      </c>
    </row>
    <row r="77" spans="1:4" x14ac:dyDescent="0.25">
      <c r="A77" s="21">
        <v>4</v>
      </c>
      <c r="B77" s="27">
        <v>87</v>
      </c>
    </row>
    <row r="78" spans="1:4" x14ac:dyDescent="0.25">
      <c r="A78" s="21">
        <v>5</v>
      </c>
      <c r="B78" s="27">
        <v>74</v>
      </c>
    </row>
    <row r="79" spans="1:4" x14ac:dyDescent="0.25">
      <c r="A79" s="21" t="s">
        <v>1037</v>
      </c>
      <c r="B79" s="27">
        <v>218</v>
      </c>
    </row>
    <row r="82" spans="1:7" x14ac:dyDescent="0.25">
      <c r="A82" s="20" t="s">
        <v>1038</v>
      </c>
      <c r="B82" s="20" t="s">
        <v>1086</v>
      </c>
    </row>
    <row r="83" spans="1:7" x14ac:dyDescent="0.25">
      <c r="A83" s="20" t="s">
        <v>1036</v>
      </c>
      <c r="B83" t="s">
        <v>11</v>
      </c>
      <c r="C83" t="s">
        <v>9</v>
      </c>
      <c r="D83" t="s">
        <v>6</v>
      </c>
      <c r="E83" t="s">
        <v>13</v>
      </c>
      <c r="F83" t="s">
        <v>10</v>
      </c>
      <c r="G83" t="s">
        <v>1037</v>
      </c>
    </row>
    <row r="84" spans="1:7" x14ac:dyDescent="0.25">
      <c r="A84" s="21" t="s">
        <v>1002</v>
      </c>
    </row>
    <row r="85" spans="1:7" x14ac:dyDescent="0.25">
      <c r="A85" s="30" t="s">
        <v>20</v>
      </c>
      <c r="B85">
        <v>891</v>
      </c>
      <c r="C85">
        <v>1332</v>
      </c>
      <c r="D85">
        <v>1282</v>
      </c>
      <c r="E85">
        <v>739</v>
      </c>
      <c r="F85">
        <v>560</v>
      </c>
      <c r="G85">
        <v>4804</v>
      </c>
    </row>
    <row r="86" spans="1:7" x14ac:dyDescent="0.25">
      <c r="A86" s="30" t="s">
        <v>12</v>
      </c>
      <c r="B86">
        <v>1991</v>
      </c>
      <c r="C86">
        <v>1886</v>
      </c>
      <c r="D86">
        <v>1206</v>
      </c>
      <c r="E86">
        <v>884</v>
      </c>
      <c r="F86">
        <v>1722</v>
      </c>
      <c r="G86">
        <v>7689</v>
      </c>
    </row>
    <row r="87" spans="1:7" x14ac:dyDescent="0.25">
      <c r="A87" s="30" t="s">
        <v>8</v>
      </c>
      <c r="B87">
        <v>1163</v>
      </c>
      <c r="C87">
        <v>1180</v>
      </c>
      <c r="D87">
        <v>1616</v>
      </c>
      <c r="E87">
        <v>1043</v>
      </c>
      <c r="F87">
        <v>1747</v>
      </c>
      <c r="G87">
        <v>6749</v>
      </c>
    </row>
    <row r="88" spans="1:7" x14ac:dyDescent="0.25">
      <c r="A88" s="30" t="s">
        <v>16</v>
      </c>
      <c r="B88">
        <v>1438</v>
      </c>
      <c r="C88">
        <v>1616</v>
      </c>
      <c r="D88">
        <v>866</v>
      </c>
      <c r="E88">
        <v>829</v>
      </c>
      <c r="F88">
        <v>2070</v>
      </c>
      <c r="G88">
        <v>6819</v>
      </c>
    </row>
    <row r="89" spans="1:7" x14ac:dyDescent="0.25">
      <c r="A89" s="21" t="s">
        <v>1001</v>
      </c>
    </row>
    <row r="90" spans="1:7" x14ac:dyDescent="0.25">
      <c r="A90" s="30" t="s">
        <v>24</v>
      </c>
      <c r="B90">
        <v>1233</v>
      </c>
      <c r="C90">
        <v>223</v>
      </c>
      <c r="D90">
        <v>1680</v>
      </c>
      <c r="E90">
        <v>990</v>
      </c>
      <c r="F90">
        <v>1508</v>
      </c>
      <c r="G90">
        <v>5634</v>
      </c>
    </row>
    <row r="91" spans="1:7" x14ac:dyDescent="0.25">
      <c r="A91" s="30" t="s">
        <v>15</v>
      </c>
      <c r="B91">
        <v>1598</v>
      </c>
      <c r="C91">
        <v>1907</v>
      </c>
      <c r="D91">
        <v>869</v>
      </c>
      <c r="E91">
        <v>1426</v>
      </c>
      <c r="F91">
        <v>1416</v>
      </c>
      <c r="G91">
        <v>7216</v>
      </c>
    </row>
    <row r="92" spans="1:7" x14ac:dyDescent="0.25">
      <c r="A92" s="30" t="s">
        <v>5</v>
      </c>
      <c r="B92">
        <v>900</v>
      </c>
      <c r="C92">
        <v>1016</v>
      </c>
      <c r="D92">
        <v>960</v>
      </c>
      <c r="E92">
        <v>940</v>
      </c>
      <c r="F92">
        <v>1193</v>
      </c>
      <c r="G92">
        <v>5009</v>
      </c>
    </row>
    <row r="93" spans="1:7" x14ac:dyDescent="0.25">
      <c r="A93" s="30" t="s">
        <v>18</v>
      </c>
      <c r="B93">
        <v>900</v>
      </c>
      <c r="C93">
        <v>1470</v>
      </c>
      <c r="D93">
        <v>1617</v>
      </c>
      <c r="E93">
        <v>1314</v>
      </c>
      <c r="F93">
        <v>941</v>
      </c>
      <c r="G93">
        <v>6242</v>
      </c>
    </row>
    <row r="94" spans="1:7" x14ac:dyDescent="0.25">
      <c r="A94" s="30" t="s">
        <v>14</v>
      </c>
      <c r="B94">
        <v>1255</v>
      </c>
      <c r="C94">
        <v>516</v>
      </c>
      <c r="D94">
        <v>1874</v>
      </c>
      <c r="E94">
        <v>1863</v>
      </c>
      <c r="F94">
        <v>1722</v>
      </c>
      <c r="G94">
        <v>7230</v>
      </c>
    </row>
    <row r="95" spans="1:7" x14ac:dyDescent="0.25">
      <c r="A95" s="30" t="s">
        <v>19</v>
      </c>
      <c r="B95">
        <v>1138</v>
      </c>
      <c r="C95">
        <v>1898</v>
      </c>
      <c r="D95">
        <v>1482</v>
      </c>
      <c r="E95">
        <v>846</v>
      </c>
      <c r="F95">
        <v>1154</v>
      </c>
      <c r="G95">
        <v>6518</v>
      </c>
    </row>
    <row r="96" spans="1:7" x14ac:dyDescent="0.25">
      <c r="A96" s="21" t="s">
        <v>1000</v>
      </c>
    </row>
    <row r="97" spans="1:7" x14ac:dyDescent="0.25">
      <c r="A97" s="30" t="s">
        <v>17</v>
      </c>
      <c r="B97">
        <v>1655</v>
      </c>
      <c r="C97">
        <v>805</v>
      </c>
      <c r="D97">
        <v>2263</v>
      </c>
      <c r="E97">
        <v>987</v>
      </c>
      <c r="F97">
        <v>1075</v>
      </c>
      <c r="G97">
        <v>6785</v>
      </c>
    </row>
    <row r="98" spans="1:7" x14ac:dyDescent="0.25">
      <c r="A98" s="30" t="s">
        <v>23</v>
      </c>
      <c r="B98">
        <v>1104</v>
      </c>
      <c r="C98">
        <v>2280</v>
      </c>
      <c r="D98">
        <v>1445</v>
      </c>
      <c r="E98">
        <v>1722</v>
      </c>
      <c r="F98">
        <v>1196</v>
      </c>
      <c r="G98">
        <v>7747</v>
      </c>
    </row>
    <row r="99" spans="1:7" x14ac:dyDescent="0.25">
      <c r="A99" s="30" t="s">
        <v>7</v>
      </c>
      <c r="B99">
        <v>372</v>
      </c>
      <c r="C99">
        <v>1818</v>
      </c>
      <c r="D99">
        <v>1346</v>
      </c>
      <c r="E99">
        <v>1156</v>
      </c>
      <c r="F99">
        <v>1484</v>
      </c>
      <c r="G99">
        <v>6176</v>
      </c>
    </row>
    <row r="100" spans="1:7" x14ac:dyDescent="0.25">
      <c r="A100" s="30" t="s">
        <v>22</v>
      </c>
      <c r="B100">
        <v>1415</v>
      </c>
      <c r="C100">
        <v>1271</v>
      </c>
      <c r="D100">
        <v>1214</v>
      </c>
      <c r="E100">
        <v>1135</v>
      </c>
      <c r="F100">
        <v>1566</v>
      </c>
      <c r="G100">
        <v>6601</v>
      </c>
    </row>
    <row r="101" spans="1:7" x14ac:dyDescent="0.25">
      <c r="A101" s="30" t="s">
        <v>21</v>
      </c>
      <c r="B101">
        <v>1362</v>
      </c>
      <c r="C101">
        <v>1363</v>
      </c>
      <c r="D101">
        <v>1152</v>
      </c>
      <c r="E101">
        <v>777</v>
      </c>
      <c r="F101">
        <v>750</v>
      </c>
      <c r="G101">
        <v>5404</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64517E-AFCE-4E83-98F9-5F891554F3DA}">
  <dimension ref="A1:AG62"/>
  <sheetViews>
    <sheetView tabSelected="1" topLeftCell="C1" zoomScale="82" zoomScaleNormal="82" workbookViewId="0">
      <selection activeCell="AB21" sqref="AB21"/>
    </sheetView>
  </sheetViews>
  <sheetFormatPr defaultRowHeight="13.8" x14ac:dyDescent="0.25"/>
  <cols>
    <col min="1" max="2" width="2.296875" customWidth="1"/>
    <col min="17" max="17" width="11.8984375" customWidth="1"/>
    <col min="18" max="18" width="13.8984375" customWidth="1"/>
    <col min="19" max="19" width="10.3984375" bestFit="1" customWidth="1"/>
    <col min="20" max="21" width="10.796875" bestFit="1" customWidth="1"/>
    <col min="22" max="22" width="10.3984375" bestFit="1" customWidth="1"/>
    <col min="23" max="24" width="10.796875" bestFit="1" customWidth="1"/>
  </cols>
  <sheetData>
    <row r="1" spans="1:33" x14ac:dyDescent="0.25">
      <c r="A1" s="31"/>
      <c r="B1" s="31"/>
      <c r="C1" s="31"/>
      <c r="D1" s="31"/>
      <c r="E1" s="31"/>
      <c r="F1" s="31"/>
      <c r="G1" s="31"/>
      <c r="H1" s="31"/>
      <c r="I1" s="31"/>
      <c r="J1" s="31"/>
      <c r="K1" s="31"/>
      <c r="L1" s="31"/>
      <c r="M1" s="31"/>
      <c r="N1" s="31"/>
      <c r="O1" s="31"/>
      <c r="P1" s="31"/>
      <c r="Q1" s="31"/>
      <c r="R1" s="31"/>
      <c r="S1" s="31"/>
      <c r="T1" s="31"/>
      <c r="U1" s="31"/>
      <c r="V1" s="31"/>
      <c r="W1" s="31"/>
      <c r="X1" s="31"/>
      <c r="Y1" s="31"/>
      <c r="Z1" s="31"/>
      <c r="AA1" s="31"/>
      <c r="AB1" s="31"/>
      <c r="AC1" s="31"/>
      <c r="AD1" s="31"/>
      <c r="AE1" s="31"/>
      <c r="AF1" s="31"/>
      <c r="AG1" s="31"/>
    </row>
    <row r="2" spans="1:33" x14ac:dyDescent="0.25">
      <c r="A2" s="31"/>
      <c r="B2" s="31"/>
      <c r="C2" s="31"/>
      <c r="D2" s="31"/>
      <c r="E2" s="31"/>
      <c r="F2" s="31"/>
      <c r="G2" s="31"/>
      <c r="H2" s="31"/>
      <c r="I2" s="31"/>
      <c r="J2" s="31"/>
      <c r="K2" s="31"/>
      <c r="L2" s="31"/>
      <c r="M2" s="31"/>
      <c r="N2" s="31"/>
      <c r="O2" s="31"/>
      <c r="P2" s="31"/>
      <c r="Q2" s="31"/>
      <c r="R2" s="31"/>
      <c r="S2" s="31"/>
      <c r="T2" s="31"/>
      <c r="U2" s="31"/>
      <c r="V2" s="31"/>
      <c r="W2" s="31"/>
      <c r="X2" s="31"/>
      <c r="Y2" s="31"/>
      <c r="Z2" s="31"/>
      <c r="AA2" s="31"/>
      <c r="AB2" s="31"/>
      <c r="AC2" s="31"/>
      <c r="AD2" s="31"/>
      <c r="AE2" s="31"/>
      <c r="AF2" s="31"/>
      <c r="AG2" s="31"/>
    </row>
    <row r="3" spans="1:33" x14ac:dyDescent="0.25">
      <c r="A3" s="31"/>
      <c r="B3" s="31"/>
      <c r="C3" s="31"/>
      <c r="D3" s="31"/>
      <c r="E3" s="31"/>
      <c r="F3" s="31"/>
      <c r="G3" s="31"/>
      <c r="H3" s="31"/>
      <c r="I3" s="31"/>
      <c r="J3" s="31"/>
      <c r="K3" s="31"/>
      <c r="L3" s="31"/>
      <c r="M3" s="31"/>
      <c r="N3" s="31"/>
      <c r="O3" s="31"/>
      <c r="P3" s="31"/>
      <c r="Q3" s="31"/>
      <c r="R3" s="31"/>
      <c r="S3" s="31"/>
      <c r="T3" s="31"/>
      <c r="U3" s="31"/>
      <c r="V3" s="31"/>
      <c r="W3" s="31"/>
      <c r="X3" s="31"/>
      <c r="Y3" s="31"/>
      <c r="Z3" s="31"/>
      <c r="AA3" s="31"/>
      <c r="AB3" s="31"/>
      <c r="AC3" s="31"/>
      <c r="AD3" s="31"/>
      <c r="AE3" s="31"/>
      <c r="AF3" s="31"/>
      <c r="AG3" s="31"/>
    </row>
    <row r="4" spans="1:33" x14ac:dyDescent="0.25">
      <c r="A4" s="31"/>
      <c r="B4" s="31"/>
      <c r="C4" s="31"/>
      <c r="D4" s="31"/>
      <c r="E4" s="31"/>
      <c r="F4" s="31"/>
      <c r="G4" s="31"/>
      <c r="H4" s="31"/>
      <c r="I4" s="31"/>
      <c r="J4" s="31"/>
      <c r="K4" s="31"/>
      <c r="L4" s="31"/>
      <c r="M4" s="31"/>
      <c r="N4" s="31"/>
      <c r="O4" s="31"/>
      <c r="P4" s="31"/>
      <c r="Q4" s="31"/>
      <c r="R4" s="31"/>
      <c r="S4" s="31"/>
      <c r="T4" s="31"/>
      <c r="U4" s="31"/>
      <c r="V4" s="31"/>
      <c r="W4" s="31"/>
      <c r="X4" s="31"/>
      <c r="Y4" s="31"/>
      <c r="Z4" s="31"/>
      <c r="AA4" s="31"/>
      <c r="AB4" s="31"/>
      <c r="AC4" s="31"/>
      <c r="AD4" s="31"/>
      <c r="AE4" s="31"/>
      <c r="AF4" s="31"/>
      <c r="AG4" s="31"/>
    </row>
    <row r="5" spans="1:33" x14ac:dyDescent="0.25">
      <c r="A5" s="31"/>
      <c r="B5" s="31"/>
      <c r="C5" s="31"/>
      <c r="D5" s="31"/>
      <c r="E5" s="31"/>
      <c r="F5" s="31"/>
      <c r="G5" s="31"/>
      <c r="H5" s="31"/>
      <c r="I5" s="31"/>
      <c r="J5" s="31"/>
      <c r="K5" s="31"/>
      <c r="L5" s="31"/>
      <c r="M5" s="31"/>
      <c r="N5" s="31"/>
      <c r="O5" s="31"/>
      <c r="P5" s="31"/>
      <c r="Q5" s="31"/>
      <c r="R5" s="31"/>
      <c r="S5" s="31"/>
      <c r="T5" s="31"/>
      <c r="U5" s="31"/>
      <c r="V5" s="31"/>
      <c r="W5" s="31"/>
      <c r="X5" s="31"/>
      <c r="Y5" s="31"/>
      <c r="Z5" s="31"/>
      <c r="AA5" s="31"/>
      <c r="AB5" s="31"/>
      <c r="AC5" s="31"/>
      <c r="AD5" s="31"/>
      <c r="AE5" s="31"/>
      <c r="AF5" s="31"/>
      <c r="AG5" s="31"/>
    </row>
    <row r="6" spans="1:33" x14ac:dyDescent="0.25">
      <c r="A6" s="31"/>
      <c r="B6" s="31"/>
      <c r="C6" s="31"/>
      <c r="D6" s="31"/>
      <c r="E6" s="31"/>
      <c r="F6" s="31"/>
      <c r="G6" s="31"/>
      <c r="H6" s="31"/>
      <c r="I6" s="31"/>
      <c r="J6" s="31"/>
      <c r="K6" s="31"/>
      <c r="L6" s="31"/>
      <c r="M6" s="31"/>
      <c r="N6" s="31"/>
      <c r="O6" s="31"/>
      <c r="P6" s="31"/>
      <c r="Q6" s="31"/>
      <c r="R6" s="31"/>
      <c r="S6" s="31"/>
      <c r="T6" s="31"/>
      <c r="U6" s="31"/>
      <c r="V6" s="31"/>
      <c r="W6" s="31"/>
      <c r="X6" s="31"/>
      <c r="Y6" s="31"/>
      <c r="Z6" s="31"/>
      <c r="AA6" s="31"/>
      <c r="AB6" s="31"/>
      <c r="AC6" s="31"/>
      <c r="AD6" s="31"/>
      <c r="AE6" s="31"/>
      <c r="AF6" s="31"/>
      <c r="AG6" s="31"/>
    </row>
    <row r="7" spans="1:33" x14ac:dyDescent="0.25">
      <c r="A7" s="31"/>
      <c r="B7" s="31"/>
      <c r="C7" s="31"/>
      <c r="D7" s="31"/>
      <c r="E7" s="31"/>
      <c r="F7" s="31"/>
      <c r="G7" s="31"/>
      <c r="H7" s="31"/>
      <c r="I7" s="31"/>
      <c r="J7" s="31"/>
      <c r="K7" s="31"/>
      <c r="L7" s="31"/>
      <c r="M7" s="31"/>
      <c r="N7" s="31"/>
      <c r="O7" s="31"/>
      <c r="P7" s="31"/>
      <c r="Q7" s="31"/>
      <c r="R7" s="31"/>
      <c r="S7" s="31"/>
      <c r="T7" s="31"/>
      <c r="U7" s="31"/>
      <c r="V7" s="31"/>
      <c r="W7" s="31"/>
      <c r="X7" s="31"/>
      <c r="Y7" s="31"/>
      <c r="Z7" s="31"/>
      <c r="AA7" s="31"/>
      <c r="AB7" s="31"/>
      <c r="AC7" s="31"/>
      <c r="AD7" s="31"/>
      <c r="AE7" s="31"/>
      <c r="AF7" s="31"/>
      <c r="AG7" s="31"/>
    </row>
    <row r="8" spans="1:33" x14ac:dyDescent="0.25">
      <c r="A8" s="31"/>
      <c r="B8" s="31"/>
      <c r="C8" s="31"/>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1"/>
      <c r="AG8" s="31"/>
    </row>
    <row r="9" spans="1:33" x14ac:dyDescent="0.25">
      <c r="A9" s="31"/>
      <c r="B9" s="31"/>
      <c r="C9" s="31"/>
      <c r="D9" s="31"/>
      <c r="E9" s="31"/>
      <c r="F9" s="31"/>
      <c r="G9" s="31"/>
      <c r="H9" s="31"/>
      <c r="I9" s="31"/>
      <c r="J9" s="31"/>
      <c r="K9" s="31"/>
      <c r="L9" s="31"/>
      <c r="M9" s="31"/>
      <c r="N9" s="31"/>
      <c r="O9" s="31"/>
      <c r="P9" s="31"/>
      <c r="Q9" s="31"/>
      <c r="R9" s="31"/>
      <c r="S9" s="31"/>
      <c r="T9" s="31"/>
      <c r="U9" s="31"/>
      <c r="V9" s="31"/>
      <c r="W9" s="31"/>
      <c r="X9" s="31"/>
      <c r="Y9" s="31"/>
      <c r="Z9" s="31"/>
      <c r="AA9" s="31"/>
      <c r="AB9" s="31"/>
      <c r="AC9" s="31"/>
      <c r="AD9" s="31"/>
      <c r="AE9" s="31"/>
      <c r="AF9" s="31"/>
      <c r="AG9" s="31"/>
    </row>
    <row r="10" spans="1:33" x14ac:dyDescent="0.25">
      <c r="A10" s="31"/>
      <c r="B10" s="31"/>
      <c r="C10" s="31"/>
      <c r="D10" s="31"/>
      <c r="E10" s="31"/>
      <c r="F10" s="31"/>
      <c r="G10" s="31"/>
      <c r="H10" s="31"/>
      <c r="I10" s="31"/>
      <c r="J10" s="31"/>
      <c r="K10" s="31"/>
      <c r="L10" s="31"/>
      <c r="M10" s="31"/>
      <c r="N10" s="31"/>
      <c r="O10" s="31"/>
      <c r="P10" s="31"/>
      <c r="Q10" s="31"/>
      <c r="R10" s="31"/>
      <c r="S10" s="31"/>
      <c r="T10" s="31"/>
      <c r="U10" s="31"/>
      <c r="V10" s="31"/>
      <c r="W10" s="31"/>
      <c r="X10" s="31"/>
      <c r="Y10" s="31"/>
      <c r="Z10" s="31"/>
      <c r="AA10" s="31"/>
      <c r="AB10" s="31"/>
      <c r="AC10" s="31"/>
      <c r="AD10" s="31"/>
      <c r="AE10" s="31"/>
      <c r="AF10" s="31"/>
      <c r="AG10" s="31"/>
    </row>
    <row r="11" spans="1:33" x14ac:dyDescent="0.25">
      <c r="A11" s="31"/>
      <c r="B11" s="31"/>
      <c r="C11" s="31"/>
      <c r="D11" s="31"/>
      <c r="E11" s="31"/>
      <c r="F11" s="31"/>
      <c r="G11" s="31"/>
      <c r="H11" s="31"/>
      <c r="I11" s="31"/>
      <c r="J11" s="31"/>
      <c r="K11" s="31"/>
      <c r="L11" s="31"/>
      <c r="M11" s="31"/>
      <c r="N11" s="31"/>
      <c r="O11" s="31"/>
      <c r="P11" s="31"/>
      <c r="Q11" s="31"/>
      <c r="R11" s="31"/>
      <c r="S11" s="31"/>
      <c r="T11" s="31"/>
      <c r="U11" s="31"/>
      <c r="V11" s="31"/>
      <c r="W11" s="31"/>
      <c r="X11" s="31"/>
      <c r="Y11" s="31"/>
      <c r="Z11" s="31"/>
      <c r="AA11" s="31"/>
      <c r="AB11" s="31"/>
      <c r="AC11" s="31"/>
      <c r="AD11" s="31"/>
      <c r="AE11" s="31"/>
      <c r="AF11" s="31"/>
      <c r="AG11" s="31"/>
    </row>
    <row r="12" spans="1:33" x14ac:dyDescent="0.25">
      <c r="A12" s="31"/>
      <c r="B12" s="31"/>
      <c r="C12" s="31"/>
      <c r="D12" s="31"/>
      <c r="E12" s="31"/>
      <c r="F12" s="31"/>
      <c r="G12" s="31"/>
      <c r="H12" s="31"/>
      <c r="I12" s="31"/>
      <c r="J12" s="31"/>
      <c r="K12" s="31"/>
      <c r="L12" s="31"/>
      <c r="M12" s="31"/>
      <c r="N12" s="31"/>
      <c r="O12" s="31"/>
      <c r="P12" s="31"/>
      <c r="Q12" s="31"/>
      <c r="R12" s="31"/>
      <c r="S12" s="31"/>
      <c r="T12" s="31"/>
      <c r="U12" s="31"/>
      <c r="V12" s="31"/>
      <c r="W12" s="31"/>
      <c r="X12" s="31"/>
      <c r="Y12" s="31"/>
      <c r="Z12" s="31"/>
      <c r="AA12" s="31"/>
      <c r="AB12" s="31"/>
      <c r="AC12" s="31"/>
      <c r="AD12" s="31"/>
      <c r="AE12" s="31"/>
      <c r="AF12" s="31"/>
      <c r="AG12" s="31"/>
    </row>
    <row r="13" spans="1:33" x14ac:dyDescent="0.25">
      <c r="A13" s="31"/>
      <c r="B13" s="31"/>
      <c r="C13" s="31"/>
      <c r="D13" s="31"/>
      <c r="E13" s="31"/>
      <c r="F13" s="31"/>
      <c r="G13" s="31"/>
      <c r="H13" s="31"/>
      <c r="I13" s="31"/>
      <c r="J13" s="31"/>
      <c r="K13" s="31"/>
      <c r="L13" s="31"/>
      <c r="M13" s="31"/>
      <c r="N13" s="31"/>
      <c r="O13" s="31"/>
      <c r="P13" s="31"/>
      <c r="Q13" s="31"/>
      <c r="R13" s="31"/>
      <c r="S13" s="31"/>
      <c r="T13" s="31"/>
      <c r="U13" s="31"/>
      <c r="V13" s="31"/>
      <c r="W13" s="31"/>
      <c r="X13" s="31"/>
      <c r="Y13" s="31"/>
      <c r="Z13" s="31"/>
      <c r="AA13" s="31"/>
      <c r="AB13" s="31"/>
      <c r="AC13" s="31"/>
      <c r="AD13" s="31"/>
      <c r="AE13" s="31"/>
      <c r="AF13" s="31"/>
      <c r="AG13" s="31"/>
    </row>
    <row r="14" spans="1:33" x14ac:dyDescent="0.25">
      <c r="A14" s="31"/>
      <c r="B14" s="31"/>
      <c r="C14" s="31"/>
      <c r="D14" s="31"/>
      <c r="E14" s="31"/>
      <c r="F14" s="31"/>
      <c r="G14" s="31"/>
      <c r="H14" s="31"/>
      <c r="I14" s="31"/>
      <c r="J14" s="31"/>
      <c r="K14" s="31"/>
      <c r="L14" s="31"/>
      <c r="M14" s="31"/>
      <c r="N14" s="31"/>
      <c r="O14" s="31"/>
      <c r="P14" s="31"/>
      <c r="Q14" s="31"/>
      <c r="R14" s="31"/>
      <c r="S14" s="31"/>
      <c r="T14" s="31"/>
      <c r="U14" s="31"/>
      <c r="V14" s="31"/>
      <c r="W14" s="31"/>
      <c r="X14" s="31"/>
      <c r="Y14" s="31"/>
      <c r="Z14" s="31"/>
      <c r="AA14" s="31"/>
      <c r="AB14" s="31"/>
      <c r="AC14" s="31"/>
      <c r="AD14" s="31"/>
      <c r="AE14" s="31"/>
      <c r="AF14" s="31"/>
      <c r="AG14" s="31"/>
    </row>
    <row r="15" spans="1:33" x14ac:dyDescent="0.25">
      <c r="A15" s="31"/>
      <c r="B15" s="31"/>
      <c r="C15" s="31"/>
      <c r="D15" s="31"/>
      <c r="E15" s="31"/>
      <c r="F15" s="31"/>
      <c r="G15" s="31"/>
      <c r="H15" s="31"/>
      <c r="I15" s="31"/>
      <c r="J15" s="31"/>
      <c r="K15" s="31"/>
      <c r="L15" s="31"/>
      <c r="M15" s="31"/>
      <c r="N15" s="31"/>
      <c r="O15" s="31"/>
      <c r="P15" s="31"/>
      <c r="Q15" s="31"/>
      <c r="R15" s="31"/>
      <c r="S15" s="31"/>
      <c r="T15" s="31"/>
      <c r="U15" s="31"/>
      <c r="V15" s="31"/>
      <c r="W15" s="31"/>
      <c r="X15" s="31"/>
      <c r="Y15" s="31"/>
      <c r="Z15" s="31"/>
      <c r="AA15" s="31"/>
      <c r="AB15" s="31"/>
      <c r="AC15" s="31"/>
      <c r="AD15" s="31"/>
      <c r="AE15" s="31"/>
      <c r="AF15" s="31"/>
      <c r="AG15" s="31"/>
    </row>
    <row r="16" spans="1:33" x14ac:dyDescent="0.25">
      <c r="A16" s="31"/>
      <c r="B16" s="31"/>
      <c r="C16" s="31"/>
      <c r="D16" s="31"/>
      <c r="E16" s="31"/>
      <c r="F16" s="31"/>
      <c r="G16" s="31"/>
      <c r="H16" s="31"/>
      <c r="I16" s="31"/>
      <c r="J16" s="31"/>
      <c r="K16" s="31"/>
      <c r="L16" s="31"/>
      <c r="M16" s="31"/>
      <c r="N16" s="31"/>
      <c r="O16" s="31"/>
      <c r="P16" s="31"/>
      <c r="Q16" s="31"/>
      <c r="R16" s="31"/>
      <c r="S16" s="31"/>
      <c r="T16" s="31"/>
      <c r="U16" s="31"/>
      <c r="V16" s="31"/>
      <c r="W16" s="31"/>
      <c r="X16" s="31"/>
      <c r="Y16" s="31"/>
      <c r="Z16" s="31"/>
      <c r="AA16" s="31"/>
      <c r="AB16" s="31"/>
      <c r="AC16" s="31"/>
      <c r="AD16" s="31"/>
      <c r="AE16" s="31"/>
      <c r="AF16" s="31"/>
      <c r="AG16" s="31"/>
    </row>
    <row r="17" spans="1:33" x14ac:dyDescent="0.25">
      <c r="A17" s="31"/>
      <c r="B17" s="31"/>
      <c r="C17" s="31"/>
      <c r="D17" s="31"/>
      <c r="E17" s="31"/>
      <c r="F17" s="31"/>
      <c r="G17" s="31"/>
      <c r="H17" s="31"/>
      <c r="I17" s="31"/>
      <c r="J17" s="31"/>
      <c r="K17" s="31"/>
      <c r="L17" s="31"/>
      <c r="M17" s="31"/>
      <c r="N17" s="31"/>
      <c r="O17" s="31"/>
      <c r="P17" s="31"/>
      <c r="Q17" s="31"/>
      <c r="R17" s="31"/>
      <c r="S17" s="31"/>
      <c r="T17" s="31"/>
      <c r="U17" s="31"/>
      <c r="V17" s="31"/>
      <c r="W17" s="31"/>
      <c r="X17" s="31"/>
      <c r="Y17" s="31"/>
      <c r="Z17" s="31"/>
      <c r="AA17" s="31"/>
      <c r="AB17" s="31"/>
      <c r="AC17" s="31"/>
      <c r="AD17" s="31"/>
      <c r="AE17" s="31"/>
      <c r="AF17" s="31"/>
      <c r="AG17" s="31"/>
    </row>
    <row r="18" spans="1:33" x14ac:dyDescent="0.25">
      <c r="A18" s="31"/>
      <c r="B18" s="31"/>
      <c r="C18" s="31"/>
      <c r="D18" s="31"/>
      <c r="E18" s="31"/>
      <c r="F18" s="31"/>
      <c r="G18" s="31"/>
      <c r="H18" s="31"/>
      <c r="I18" s="31"/>
      <c r="J18" s="31"/>
      <c r="K18" s="31"/>
      <c r="L18" s="31"/>
      <c r="M18" s="31"/>
      <c r="N18" s="31"/>
      <c r="O18" s="31"/>
      <c r="P18" s="31"/>
      <c r="Q18" s="31"/>
      <c r="R18" s="32"/>
      <c r="S18" s="34" t="str" cm="1">
        <f t="array" ref="S18:W18">'pivot tabel'!B83:F83</f>
        <v>R01</v>
      </c>
      <c r="T18" s="34" t="str">
        <v>R02</v>
      </c>
      <c r="U18" s="34" t="str">
        <v>R03</v>
      </c>
      <c r="V18" s="34" t="str">
        <v>R04</v>
      </c>
      <c r="W18" s="34" t="str">
        <v>R05</v>
      </c>
      <c r="X18" s="34" t="s">
        <v>1087</v>
      </c>
      <c r="Y18" s="31"/>
      <c r="Z18" s="31"/>
      <c r="AA18" s="31"/>
      <c r="AB18" s="31"/>
      <c r="AC18" s="31"/>
      <c r="AD18" s="31"/>
      <c r="AE18" s="31"/>
      <c r="AF18" s="31"/>
      <c r="AG18" s="31"/>
    </row>
    <row r="19" spans="1:33" x14ac:dyDescent="0.25">
      <c r="A19" s="31"/>
      <c r="B19" s="31"/>
      <c r="C19" s="31"/>
      <c r="D19" s="31"/>
      <c r="E19" s="31"/>
      <c r="F19" s="31"/>
      <c r="G19" s="31"/>
      <c r="H19" s="31"/>
      <c r="I19" s="31"/>
      <c r="J19" s="31"/>
      <c r="K19" s="31"/>
      <c r="L19" s="31"/>
      <c r="M19" s="31"/>
      <c r="N19" s="31"/>
      <c r="O19" s="31"/>
      <c r="P19" s="31"/>
      <c r="Q19" s="31"/>
      <c r="R19" s="34" t="str" cm="1">
        <f t="array" ref="R19:X36">IF('pivot tabel'!A84:G101="", "", 'pivot tabel'!A84:G101)</f>
        <v>Cincinnati</v>
      </c>
      <c r="S19" s="32" t="str">
        <v/>
      </c>
      <c r="T19" s="32" t="str">
        <v/>
      </c>
      <c r="U19" s="32" t="str">
        <v/>
      </c>
      <c r="V19" s="32" t="str">
        <v/>
      </c>
      <c r="W19" s="32" t="str">
        <v/>
      </c>
      <c r="X19" s="32" t="str">
        <v/>
      </c>
      <c r="Y19" s="31"/>
      <c r="Z19" s="31"/>
      <c r="AA19" s="31"/>
      <c r="AB19" s="31"/>
      <c r="AC19" s="31"/>
      <c r="AD19" s="31"/>
      <c r="AE19" s="31"/>
      <c r="AF19" s="31"/>
      <c r="AG19" s="31"/>
    </row>
    <row r="20" spans="1:33" x14ac:dyDescent="0.25">
      <c r="A20" s="31"/>
      <c r="B20" s="31"/>
      <c r="C20" s="31"/>
      <c r="D20" s="31"/>
      <c r="E20" s="31"/>
      <c r="F20" s="31"/>
      <c r="G20" s="31"/>
      <c r="H20" s="31"/>
      <c r="I20" s="31"/>
      <c r="J20" s="31"/>
      <c r="K20" s="31"/>
      <c r="L20" s="31"/>
      <c r="M20" s="31"/>
      <c r="N20" s="31"/>
      <c r="O20" s="31"/>
      <c r="P20" s="31"/>
      <c r="Q20" s="31"/>
      <c r="R20" s="32" t="str">
        <v>C0003</v>
      </c>
      <c r="S20" s="33">
        <v>891</v>
      </c>
      <c r="T20" s="33">
        <v>1332</v>
      </c>
      <c r="U20" s="33">
        <v>1282</v>
      </c>
      <c r="V20" s="33">
        <v>739</v>
      </c>
      <c r="W20" s="33">
        <v>560</v>
      </c>
      <c r="X20" s="33">
        <v>4804</v>
      </c>
      <c r="Y20" s="31"/>
      <c r="Z20" s="31"/>
      <c r="AA20" s="31"/>
      <c r="AB20" s="31"/>
      <c r="AC20" s="31"/>
      <c r="AD20" s="31"/>
      <c r="AE20" s="31"/>
      <c r="AF20" s="31"/>
      <c r="AG20" s="31"/>
    </row>
    <row r="21" spans="1:33" x14ac:dyDescent="0.25">
      <c r="A21" s="31"/>
      <c r="B21" s="31"/>
      <c r="C21" s="31"/>
      <c r="D21" s="31"/>
      <c r="E21" s="31"/>
      <c r="F21" s="31"/>
      <c r="G21" s="31"/>
      <c r="H21" s="31"/>
      <c r="I21" s="31"/>
      <c r="J21" s="31"/>
      <c r="K21" s="31"/>
      <c r="L21" s="31"/>
      <c r="M21" s="31"/>
      <c r="N21" s="31"/>
      <c r="O21" s="31"/>
      <c r="P21" s="31"/>
      <c r="Q21" s="31"/>
      <c r="R21" s="32" t="str">
        <v>C0004</v>
      </c>
      <c r="S21" s="33">
        <v>1991</v>
      </c>
      <c r="T21" s="33">
        <v>1886</v>
      </c>
      <c r="U21" s="33">
        <v>1206</v>
      </c>
      <c r="V21" s="33">
        <v>884</v>
      </c>
      <c r="W21" s="33">
        <v>1722</v>
      </c>
      <c r="X21" s="33">
        <v>7689</v>
      </c>
      <c r="Y21" s="31"/>
      <c r="Z21" s="31"/>
      <c r="AA21" s="31"/>
      <c r="AB21" s="31"/>
      <c r="AC21" s="31"/>
      <c r="AD21" s="31"/>
      <c r="AE21" s="31"/>
      <c r="AF21" s="31"/>
      <c r="AG21" s="31"/>
    </row>
    <row r="22" spans="1:33" x14ac:dyDescent="0.25">
      <c r="A22" s="31"/>
      <c r="B22" s="31"/>
      <c r="C22" s="31"/>
      <c r="D22" s="31"/>
      <c r="E22" s="31"/>
      <c r="F22" s="31"/>
      <c r="G22" s="31"/>
      <c r="H22" s="31"/>
      <c r="I22" s="31"/>
      <c r="J22" s="31"/>
      <c r="K22" s="31"/>
      <c r="L22" s="31"/>
      <c r="M22" s="31"/>
      <c r="N22" s="31"/>
      <c r="O22" s="31"/>
      <c r="P22" s="31"/>
      <c r="Q22" s="31"/>
      <c r="R22" s="32" t="str">
        <v>C0011</v>
      </c>
      <c r="S22" s="33">
        <v>1163</v>
      </c>
      <c r="T22" s="33">
        <v>1180</v>
      </c>
      <c r="U22" s="33">
        <v>1616</v>
      </c>
      <c r="V22" s="33">
        <v>1043</v>
      </c>
      <c r="W22" s="33">
        <v>1747</v>
      </c>
      <c r="X22" s="33">
        <v>6749</v>
      </c>
      <c r="Y22" s="31"/>
      <c r="Z22" s="31"/>
      <c r="AA22" s="31"/>
      <c r="AB22" s="31"/>
      <c r="AC22" s="31"/>
      <c r="AD22" s="31"/>
      <c r="AE22" s="31"/>
      <c r="AF22" s="31"/>
      <c r="AG22" s="31"/>
    </row>
    <row r="23" spans="1:33" x14ac:dyDescent="0.25">
      <c r="A23" s="31"/>
      <c r="B23" s="31"/>
      <c r="C23" s="31"/>
      <c r="D23" s="31"/>
      <c r="E23" s="31"/>
      <c r="F23" s="31"/>
      <c r="G23" s="31"/>
      <c r="H23" s="31"/>
      <c r="I23" s="31"/>
      <c r="J23" s="31"/>
      <c r="K23" s="31"/>
      <c r="L23" s="31"/>
      <c r="M23" s="31"/>
      <c r="N23" s="31"/>
      <c r="O23" s="31"/>
      <c r="P23" s="31"/>
      <c r="Q23" s="31"/>
      <c r="R23" s="32" t="str">
        <v>C0012</v>
      </c>
      <c r="S23" s="33">
        <v>1438</v>
      </c>
      <c r="T23" s="33">
        <v>1616</v>
      </c>
      <c r="U23" s="33">
        <v>866</v>
      </c>
      <c r="V23" s="33">
        <v>829</v>
      </c>
      <c r="W23" s="33">
        <v>2070</v>
      </c>
      <c r="X23" s="33">
        <v>6819</v>
      </c>
      <c r="Y23" s="31"/>
      <c r="Z23" s="31"/>
      <c r="AA23" s="31"/>
      <c r="AB23" s="31"/>
      <c r="AC23" s="31"/>
      <c r="AD23" s="31"/>
      <c r="AE23" s="31"/>
      <c r="AF23" s="31"/>
      <c r="AG23" s="31"/>
    </row>
    <row r="24" spans="1:33" x14ac:dyDescent="0.25">
      <c r="A24" s="31"/>
      <c r="B24" s="31"/>
      <c r="C24" s="31"/>
      <c r="D24" s="31"/>
      <c r="E24" s="31"/>
      <c r="F24" s="31"/>
      <c r="G24" s="31"/>
      <c r="H24" s="31"/>
      <c r="I24" s="31"/>
      <c r="J24" s="31"/>
      <c r="K24" s="31"/>
      <c r="L24" s="31"/>
      <c r="M24" s="31"/>
      <c r="N24" s="31"/>
      <c r="O24" s="31"/>
      <c r="P24" s="31"/>
      <c r="Q24" s="31"/>
      <c r="R24" s="34" t="str">
        <v>Cleveland</v>
      </c>
      <c r="S24" s="33" t="str">
        <v/>
      </c>
      <c r="T24" s="33" t="str">
        <v/>
      </c>
      <c r="U24" s="33" t="str">
        <v/>
      </c>
      <c r="V24" s="33" t="str">
        <v/>
      </c>
      <c r="W24" s="33" t="str">
        <v/>
      </c>
      <c r="X24" s="33" t="str">
        <v/>
      </c>
      <c r="Y24" s="31"/>
      <c r="Z24" s="31"/>
      <c r="AA24" s="31"/>
      <c r="AB24" s="31"/>
      <c r="AC24" s="31"/>
      <c r="AD24" s="31"/>
      <c r="AE24" s="31"/>
      <c r="AF24" s="31"/>
      <c r="AG24" s="31"/>
    </row>
    <row r="25" spans="1:33" x14ac:dyDescent="0.25">
      <c r="A25" s="31"/>
      <c r="B25" s="31"/>
      <c r="C25" s="31"/>
      <c r="D25" s="31"/>
      <c r="E25" s="31"/>
      <c r="F25" s="31"/>
      <c r="G25" s="31"/>
      <c r="H25" s="31"/>
      <c r="I25" s="31"/>
      <c r="J25" s="31"/>
      <c r="K25" s="31"/>
      <c r="L25" s="31"/>
      <c r="M25" s="31"/>
      <c r="N25" s="31"/>
      <c r="O25" s="31"/>
      <c r="P25" s="31"/>
      <c r="Q25" s="31"/>
      <c r="R25" s="32" t="str">
        <v>C0002</v>
      </c>
      <c r="S25" s="33">
        <v>1233</v>
      </c>
      <c r="T25" s="33">
        <v>223</v>
      </c>
      <c r="U25" s="33">
        <v>1680</v>
      </c>
      <c r="V25" s="33">
        <v>990</v>
      </c>
      <c r="W25" s="33">
        <v>1508</v>
      </c>
      <c r="X25" s="33">
        <v>5634</v>
      </c>
      <c r="Y25" s="31"/>
      <c r="Z25" s="31"/>
      <c r="AA25" s="31"/>
      <c r="AB25" s="31"/>
      <c r="AC25" s="31"/>
      <c r="AD25" s="31"/>
      <c r="AE25" s="31"/>
      <c r="AF25" s="31"/>
      <c r="AG25" s="31"/>
    </row>
    <row r="26" spans="1:33" x14ac:dyDescent="0.25">
      <c r="A26" s="31"/>
      <c r="B26" s="31"/>
      <c r="C26" s="31"/>
      <c r="D26" s="31"/>
      <c r="E26" s="31"/>
      <c r="F26" s="31"/>
      <c r="G26" s="31"/>
      <c r="H26" s="31"/>
      <c r="I26" s="31"/>
      <c r="J26" s="31"/>
      <c r="K26" s="31"/>
      <c r="L26" s="31"/>
      <c r="M26" s="31"/>
      <c r="N26" s="31"/>
      <c r="O26" s="31"/>
      <c r="P26" s="31"/>
      <c r="Q26" s="31"/>
      <c r="R26" s="32" t="str">
        <v>C0007</v>
      </c>
      <c r="S26" s="33">
        <v>1598</v>
      </c>
      <c r="T26" s="33">
        <v>1907</v>
      </c>
      <c r="U26" s="33">
        <v>869</v>
      </c>
      <c r="V26" s="33">
        <v>1426</v>
      </c>
      <c r="W26" s="33">
        <v>1416</v>
      </c>
      <c r="X26" s="33">
        <v>7216</v>
      </c>
      <c r="Y26" s="31"/>
      <c r="Z26" s="31"/>
      <c r="AA26" s="31"/>
      <c r="AB26" s="31"/>
      <c r="AC26" s="31"/>
      <c r="AD26" s="31"/>
      <c r="AE26" s="31"/>
      <c r="AF26" s="31"/>
      <c r="AG26" s="31"/>
    </row>
    <row r="27" spans="1:33" x14ac:dyDescent="0.25">
      <c r="A27" s="31"/>
      <c r="B27" s="31"/>
      <c r="C27" s="31"/>
      <c r="D27" s="31"/>
      <c r="E27" s="31"/>
      <c r="F27" s="31"/>
      <c r="G27" s="31"/>
      <c r="H27" s="31"/>
      <c r="I27" s="31"/>
      <c r="J27" s="31"/>
      <c r="K27" s="31"/>
      <c r="L27" s="31"/>
      <c r="M27" s="31"/>
      <c r="N27" s="31"/>
      <c r="O27" s="31"/>
      <c r="P27" s="31"/>
      <c r="Q27" s="31"/>
      <c r="R27" s="32" t="str">
        <v>C0008</v>
      </c>
      <c r="S27" s="33">
        <v>900</v>
      </c>
      <c r="T27" s="33">
        <v>1016</v>
      </c>
      <c r="U27" s="33">
        <v>960</v>
      </c>
      <c r="V27" s="33">
        <v>940</v>
      </c>
      <c r="W27" s="33">
        <v>1193</v>
      </c>
      <c r="X27" s="33">
        <v>5009</v>
      </c>
      <c r="Y27" s="31"/>
      <c r="Z27" s="31"/>
      <c r="AA27" s="31"/>
      <c r="AB27" s="31"/>
      <c r="AC27" s="31"/>
      <c r="AD27" s="31"/>
      <c r="AE27" s="31"/>
      <c r="AF27" s="31"/>
      <c r="AG27" s="31"/>
    </row>
    <row r="28" spans="1:33" x14ac:dyDescent="0.25">
      <c r="A28" s="31"/>
      <c r="B28" s="31"/>
      <c r="C28" s="31"/>
      <c r="D28" s="31"/>
      <c r="E28" s="31"/>
      <c r="F28" s="31"/>
      <c r="G28" s="31"/>
      <c r="H28" s="31"/>
      <c r="I28" s="31"/>
      <c r="J28" s="31"/>
      <c r="K28" s="31"/>
      <c r="L28" s="31"/>
      <c r="M28" s="31"/>
      <c r="N28" s="31"/>
      <c r="O28" s="31"/>
      <c r="P28" s="31"/>
      <c r="Q28" s="31"/>
      <c r="R28" s="32" t="str">
        <v>C0010</v>
      </c>
      <c r="S28" s="33">
        <v>900</v>
      </c>
      <c r="T28" s="33">
        <v>1470</v>
      </c>
      <c r="U28" s="33">
        <v>1617</v>
      </c>
      <c r="V28" s="33">
        <v>1314</v>
      </c>
      <c r="W28" s="33">
        <v>941</v>
      </c>
      <c r="X28" s="33">
        <v>6242</v>
      </c>
      <c r="Y28" s="31"/>
      <c r="Z28" s="31"/>
      <c r="AA28" s="31"/>
      <c r="AB28" s="31"/>
      <c r="AC28" s="31"/>
      <c r="AD28" s="31"/>
      <c r="AE28" s="31"/>
      <c r="AF28" s="31"/>
      <c r="AG28" s="31"/>
    </row>
    <row r="29" spans="1:33" x14ac:dyDescent="0.25">
      <c r="A29" s="31"/>
      <c r="B29" s="31"/>
      <c r="C29" s="31"/>
      <c r="D29" s="31"/>
      <c r="E29" s="31"/>
      <c r="F29" s="31"/>
      <c r="G29" s="31"/>
      <c r="H29" s="31"/>
      <c r="I29" s="31"/>
      <c r="J29" s="31"/>
      <c r="K29" s="31"/>
      <c r="L29" s="31"/>
      <c r="M29" s="31"/>
      <c r="N29" s="31"/>
      <c r="O29" s="31"/>
      <c r="P29" s="31"/>
      <c r="Q29" s="31"/>
      <c r="R29" s="32" t="str">
        <v>C0013</v>
      </c>
      <c r="S29" s="33">
        <v>1255</v>
      </c>
      <c r="T29" s="33">
        <v>516</v>
      </c>
      <c r="U29" s="33">
        <v>1874</v>
      </c>
      <c r="V29" s="33">
        <v>1863</v>
      </c>
      <c r="W29" s="33">
        <v>1722</v>
      </c>
      <c r="X29" s="33">
        <v>7230</v>
      </c>
      <c r="Y29" s="31"/>
      <c r="Z29" s="31"/>
      <c r="AA29" s="31"/>
      <c r="AB29" s="31"/>
      <c r="AC29" s="31"/>
      <c r="AD29" s="31"/>
      <c r="AE29" s="31"/>
      <c r="AF29" s="31"/>
      <c r="AG29" s="31"/>
    </row>
    <row r="30" spans="1:33" x14ac:dyDescent="0.25">
      <c r="A30" s="31"/>
      <c r="B30" s="31"/>
      <c r="C30" s="31"/>
      <c r="D30" s="31"/>
      <c r="E30" s="31"/>
      <c r="F30" s="31"/>
      <c r="G30" s="31"/>
      <c r="H30" s="31"/>
      <c r="I30" s="31"/>
      <c r="J30" s="31"/>
      <c r="K30" s="31"/>
      <c r="L30" s="31"/>
      <c r="M30" s="31"/>
      <c r="N30" s="31"/>
      <c r="O30" s="31"/>
      <c r="P30" s="31"/>
      <c r="Q30" s="31"/>
      <c r="R30" s="32" t="str">
        <v>C0015</v>
      </c>
      <c r="S30" s="33">
        <v>1138</v>
      </c>
      <c r="T30" s="33">
        <v>1898</v>
      </c>
      <c r="U30" s="33">
        <v>1482</v>
      </c>
      <c r="V30" s="33">
        <v>846</v>
      </c>
      <c r="W30" s="33">
        <v>1154</v>
      </c>
      <c r="X30" s="33">
        <v>6518</v>
      </c>
      <c r="Y30" s="31"/>
      <c r="Z30" s="31"/>
      <c r="AA30" s="31"/>
      <c r="AB30" s="31"/>
      <c r="AC30" s="31"/>
      <c r="AD30" s="31"/>
      <c r="AE30" s="31"/>
      <c r="AF30" s="31"/>
      <c r="AG30" s="31"/>
    </row>
    <row r="31" spans="1:33" x14ac:dyDescent="0.25">
      <c r="A31" s="31"/>
      <c r="B31" s="31"/>
      <c r="C31" s="31"/>
      <c r="D31" s="31"/>
      <c r="E31" s="31"/>
      <c r="F31" s="31"/>
      <c r="G31" s="31"/>
      <c r="H31" s="31"/>
      <c r="I31" s="31"/>
      <c r="J31" s="31"/>
      <c r="K31" s="31"/>
      <c r="L31" s="31"/>
      <c r="M31" s="31"/>
      <c r="N31" s="31"/>
      <c r="O31" s="31"/>
      <c r="P31" s="31"/>
      <c r="Q31" s="31"/>
      <c r="R31" s="34" t="str">
        <v>Columbus</v>
      </c>
      <c r="S31" s="33" t="str">
        <v/>
      </c>
      <c r="T31" s="33" t="str">
        <v/>
      </c>
      <c r="U31" s="33" t="str">
        <v/>
      </c>
      <c r="V31" s="33" t="str">
        <v/>
      </c>
      <c r="W31" s="33" t="str">
        <v/>
      </c>
      <c r="X31" s="33" t="str">
        <v/>
      </c>
      <c r="Y31" s="31"/>
      <c r="Z31" s="31"/>
      <c r="AA31" s="31"/>
      <c r="AB31" s="31"/>
      <c r="AC31" s="31"/>
      <c r="AD31" s="31"/>
      <c r="AE31" s="31"/>
      <c r="AF31" s="31"/>
      <c r="AG31" s="31"/>
    </row>
    <row r="32" spans="1:33" x14ac:dyDescent="0.25">
      <c r="A32" s="31"/>
      <c r="B32" s="31"/>
      <c r="C32" s="31"/>
      <c r="D32" s="31"/>
      <c r="E32" s="31"/>
      <c r="F32" s="31"/>
      <c r="G32" s="31"/>
      <c r="H32" s="31"/>
      <c r="I32" s="31"/>
      <c r="J32" s="31"/>
      <c r="K32" s="31"/>
      <c r="L32" s="31"/>
      <c r="M32" s="31"/>
      <c r="N32" s="31"/>
      <c r="O32" s="31"/>
      <c r="P32" s="31"/>
      <c r="Q32" s="31"/>
      <c r="R32" s="32" t="str">
        <v>C0001</v>
      </c>
      <c r="S32" s="33">
        <v>1655</v>
      </c>
      <c r="T32" s="33">
        <v>805</v>
      </c>
      <c r="U32" s="33">
        <v>2263</v>
      </c>
      <c r="V32" s="33">
        <v>987</v>
      </c>
      <c r="W32" s="33">
        <v>1075</v>
      </c>
      <c r="X32" s="33">
        <v>6785</v>
      </c>
      <c r="Y32" s="31"/>
      <c r="Z32" s="31"/>
      <c r="AA32" s="31"/>
      <c r="AB32" s="31"/>
      <c r="AC32" s="31"/>
      <c r="AD32" s="31"/>
      <c r="AE32" s="31"/>
      <c r="AF32" s="31"/>
      <c r="AG32" s="31"/>
    </row>
    <row r="33" spans="1:33" x14ac:dyDescent="0.25">
      <c r="A33" s="31"/>
      <c r="B33" s="31"/>
      <c r="C33" s="31"/>
      <c r="D33" s="31"/>
      <c r="E33" s="31"/>
      <c r="F33" s="31"/>
      <c r="G33" s="31"/>
      <c r="H33" s="31"/>
      <c r="I33" s="31"/>
      <c r="J33" s="31"/>
      <c r="K33" s="31"/>
      <c r="L33" s="31"/>
      <c r="M33" s="31"/>
      <c r="N33" s="31"/>
      <c r="O33" s="31"/>
      <c r="P33" s="31"/>
      <c r="Q33" s="31"/>
      <c r="R33" s="32" t="str">
        <v>C0005</v>
      </c>
      <c r="S33" s="33">
        <v>1104</v>
      </c>
      <c r="T33" s="33">
        <v>2280</v>
      </c>
      <c r="U33" s="33">
        <v>1445</v>
      </c>
      <c r="V33" s="33">
        <v>1722</v>
      </c>
      <c r="W33" s="33">
        <v>1196</v>
      </c>
      <c r="X33" s="33">
        <v>7747</v>
      </c>
      <c r="Y33" s="31"/>
      <c r="Z33" s="31"/>
      <c r="AA33" s="31"/>
      <c r="AB33" s="31"/>
      <c r="AC33" s="31"/>
      <c r="AD33" s="31"/>
      <c r="AE33" s="31"/>
      <c r="AF33" s="31"/>
      <c r="AG33" s="31"/>
    </row>
    <row r="34" spans="1:33" x14ac:dyDescent="0.25">
      <c r="A34" s="31"/>
      <c r="B34" s="31"/>
      <c r="C34" s="31"/>
      <c r="D34" s="31"/>
      <c r="E34" s="31"/>
      <c r="F34" s="31"/>
      <c r="G34" s="31"/>
      <c r="H34" s="31"/>
      <c r="I34" s="31"/>
      <c r="J34" s="31"/>
      <c r="K34" s="31"/>
      <c r="L34" s="31"/>
      <c r="M34" s="31"/>
      <c r="N34" s="31"/>
      <c r="O34" s="31"/>
      <c r="P34" s="31"/>
      <c r="Q34" s="31"/>
      <c r="R34" s="32" t="str">
        <v>C0006</v>
      </c>
      <c r="S34" s="33">
        <v>372</v>
      </c>
      <c r="T34" s="33">
        <v>1818</v>
      </c>
      <c r="U34" s="33">
        <v>1346</v>
      </c>
      <c r="V34" s="33">
        <v>1156</v>
      </c>
      <c r="W34" s="33">
        <v>1484</v>
      </c>
      <c r="X34" s="33">
        <v>6176</v>
      </c>
      <c r="Y34" s="31"/>
      <c r="Z34" s="31"/>
      <c r="AA34" s="31"/>
      <c r="AB34" s="31"/>
      <c r="AC34" s="31"/>
      <c r="AD34" s="31"/>
      <c r="AE34" s="31"/>
      <c r="AF34" s="31"/>
      <c r="AG34" s="31"/>
    </row>
    <row r="35" spans="1:33" x14ac:dyDescent="0.25">
      <c r="A35" s="31"/>
      <c r="B35" s="31"/>
      <c r="C35" s="31"/>
      <c r="D35" s="31"/>
      <c r="E35" s="31"/>
      <c r="F35" s="31"/>
      <c r="G35" s="31"/>
      <c r="H35" s="31"/>
      <c r="I35" s="31"/>
      <c r="J35" s="31"/>
      <c r="K35" s="31"/>
      <c r="L35" s="31"/>
      <c r="M35" s="31"/>
      <c r="N35" s="31"/>
      <c r="O35" s="31"/>
      <c r="P35" s="31"/>
      <c r="Q35" s="31"/>
      <c r="R35" s="32" t="str">
        <v>C0009</v>
      </c>
      <c r="S35" s="33">
        <v>1415</v>
      </c>
      <c r="T35" s="33">
        <v>1271</v>
      </c>
      <c r="U35" s="33">
        <v>1214</v>
      </c>
      <c r="V35" s="33">
        <v>1135</v>
      </c>
      <c r="W35" s="33">
        <v>1566</v>
      </c>
      <c r="X35" s="33">
        <v>6601</v>
      </c>
      <c r="Y35" s="31"/>
      <c r="Z35" s="31"/>
      <c r="AA35" s="31"/>
      <c r="AB35" s="31"/>
      <c r="AC35" s="31"/>
      <c r="AD35" s="31"/>
      <c r="AE35" s="31"/>
      <c r="AF35" s="31"/>
      <c r="AG35" s="31"/>
    </row>
    <row r="36" spans="1:33" x14ac:dyDescent="0.25">
      <c r="A36" s="31"/>
      <c r="B36" s="31"/>
      <c r="C36" s="31"/>
      <c r="D36" s="31"/>
      <c r="E36" s="31"/>
      <c r="F36" s="31"/>
      <c r="G36" s="31"/>
      <c r="H36" s="31"/>
      <c r="I36" s="31"/>
      <c r="J36" s="31"/>
      <c r="K36" s="31"/>
      <c r="L36" s="31"/>
      <c r="M36" s="31"/>
      <c r="N36" s="31"/>
      <c r="O36" s="31"/>
      <c r="P36" s="31"/>
      <c r="Q36" s="31"/>
      <c r="R36" s="32" t="str">
        <v>C0014</v>
      </c>
      <c r="S36" s="33">
        <v>1362</v>
      </c>
      <c r="T36" s="33">
        <v>1363</v>
      </c>
      <c r="U36" s="33">
        <v>1152</v>
      </c>
      <c r="V36" s="33">
        <v>777</v>
      </c>
      <c r="W36" s="33">
        <v>750</v>
      </c>
      <c r="X36" s="33">
        <v>5404</v>
      </c>
      <c r="Y36" s="31"/>
      <c r="Z36" s="31"/>
      <c r="AA36" s="31"/>
      <c r="AB36" s="31"/>
      <c r="AC36" s="31"/>
      <c r="AD36" s="31"/>
      <c r="AE36" s="31"/>
      <c r="AF36" s="31"/>
      <c r="AG36" s="31"/>
    </row>
    <row r="37" spans="1:33" x14ac:dyDescent="0.25">
      <c r="A37" s="31"/>
      <c r="B37" s="31"/>
      <c r="C37" s="31"/>
      <c r="D37" s="31"/>
      <c r="E37" s="31"/>
      <c r="F37" s="31"/>
      <c r="G37" s="31"/>
      <c r="H37" s="31"/>
      <c r="I37" s="31"/>
      <c r="J37" s="31"/>
      <c r="K37" s="31"/>
      <c r="L37" s="31"/>
      <c r="M37" s="31"/>
      <c r="N37" s="31"/>
      <c r="O37" s="31"/>
      <c r="P37" s="31"/>
      <c r="Q37" s="31"/>
      <c r="R37" s="31"/>
      <c r="S37" s="31"/>
      <c r="T37" s="31"/>
      <c r="U37" s="31"/>
      <c r="V37" s="31"/>
      <c r="W37" s="31"/>
      <c r="X37" s="31"/>
      <c r="Y37" s="31"/>
      <c r="Z37" s="31"/>
      <c r="AA37" s="31"/>
      <c r="AB37" s="31"/>
      <c r="AC37" s="31"/>
      <c r="AD37" s="31"/>
      <c r="AE37" s="31"/>
      <c r="AF37" s="31"/>
      <c r="AG37" s="31"/>
    </row>
    <row r="38" spans="1:33" x14ac:dyDescent="0.25">
      <c r="A38" s="31"/>
      <c r="B38" s="31"/>
      <c r="C38" s="31"/>
      <c r="D38" s="31"/>
      <c r="E38" s="31"/>
      <c r="F38" s="31"/>
      <c r="G38" s="31"/>
      <c r="H38" s="31"/>
      <c r="I38" s="31"/>
      <c r="J38" s="31"/>
      <c r="K38" s="31"/>
      <c r="L38" s="31"/>
      <c r="M38" s="31"/>
      <c r="N38" s="31"/>
      <c r="O38" s="31"/>
      <c r="P38" s="31"/>
      <c r="Q38" s="31"/>
      <c r="R38" s="31"/>
      <c r="S38" s="31"/>
      <c r="T38" s="31"/>
      <c r="U38" s="31"/>
      <c r="V38" s="31"/>
      <c r="W38" s="31"/>
      <c r="X38" s="31"/>
      <c r="Y38" s="31"/>
      <c r="Z38" s="31"/>
      <c r="AA38" s="31"/>
      <c r="AB38" s="31"/>
      <c r="AC38" s="31"/>
      <c r="AD38" s="31"/>
      <c r="AE38" s="31"/>
      <c r="AF38" s="31"/>
      <c r="AG38" s="31"/>
    </row>
    <row r="39" spans="1:33" x14ac:dyDescent="0.25">
      <c r="A39" s="31"/>
      <c r="B39" s="31"/>
      <c r="C39" s="31"/>
      <c r="D39" s="31"/>
      <c r="E39" s="31"/>
      <c r="F39" s="31"/>
      <c r="G39" s="31"/>
      <c r="H39" s="31"/>
      <c r="I39" s="31"/>
      <c r="J39" s="31"/>
      <c r="K39" s="31"/>
      <c r="L39" s="31"/>
      <c r="M39" s="31"/>
      <c r="N39" s="31"/>
      <c r="O39" s="31"/>
      <c r="P39" s="31"/>
      <c r="Q39" s="31"/>
      <c r="R39" s="31"/>
      <c r="S39" s="31"/>
      <c r="T39" s="31"/>
      <c r="U39" s="31"/>
      <c r="V39" s="31"/>
      <c r="W39" s="31"/>
      <c r="X39" s="31"/>
      <c r="Y39" s="31"/>
      <c r="Z39" s="31"/>
      <c r="AA39" s="31"/>
      <c r="AB39" s="31"/>
      <c r="AC39" s="31"/>
      <c r="AD39" s="31"/>
      <c r="AE39" s="31"/>
      <c r="AF39" s="31"/>
      <c r="AG39" s="31"/>
    </row>
    <row r="40" spans="1:33" x14ac:dyDescent="0.25">
      <c r="A40" s="31"/>
      <c r="B40" s="31"/>
      <c r="C40" s="31"/>
      <c r="D40" s="31"/>
      <c r="E40" s="31"/>
      <c r="F40" s="31"/>
      <c r="G40" s="31"/>
      <c r="H40" s="31"/>
      <c r="I40" s="31"/>
      <c r="J40" s="31"/>
      <c r="K40" s="31"/>
      <c r="L40" s="31"/>
      <c r="M40" s="31"/>
      <c r="N40" s="31"/>
      <c r="O40" s="31"/>
      <c r="P40" s="31"/>
      <c r="Q40" s="31"/>
      <c r="R40" s="31"/>
      <c r="S40" s="31"/>
      <c r="T40" s="31"/>
      <c r="U40" s="31"/>
      <c r="V40" s="31"/>
      <c r="W40" s="31"/>
      <c r="X40" s="31"/>
      <c r="Y40" s="31"/>
      <c r="Z40" s="31"/>
      <c r="AA40" s="31"/>
      <c r="AB40" s="31"/>
      <c r="AC40" s="31"/>
      <c r="AD40" s="31"/>
      <c r="AE40" s="31"/>
      <c r="AF40" s="31"/>
      <c r="AG40" s="31"/>
    </row>
    <row r="41" spans="1:33" x14ac:dyDescent="0.25">
      <c r="A41" s="31"/>
      <c r="B41" s="31"/>
      <c r="C41" s="31"/>
      <c r="D41" s="31"/>
      <c r="E41" s="31"/>
      <c r="F41" s="31"/>
      <c r="G41" s="31"/>
      <c r="H41" s="31"/>
      <c r="I41" s="31"/>
      <c r="J41" s="31"/>
      <c r="K41" s="31"/>
      <c r="L41" s="31"/>
      <c r="M41" s="31"/>
      <c r="N41" s="31"/>
      <c r="O41" s="31"/>
      <c r="P41" s="31"/>
      <c r="Q41" s="31"/>
      <c r="R41" s="31"/>
      <c r="S41" s="31"/>
      <c r="T41" s="31"/>
      <c r="U41" s="31"/>
      <c r="V41" s="31"/>
      <c r="W41" s="31"/>
      <c r="X41" s="31"/>
      <c r="Y41" s="31"/>
      <c r="Z41" s="31"/>
      <c r="AA41" s="31"/>
      <c r="AB41" s="31"/>
      <c r="AC41" s="31"/>
      <c r="AD41" s="31"/>
      <c r="AE41" s="31"/>
      <c r="AF41" s="31"/>
      <c r="AG41" s="31"/>
    </row>
    <row r="42" spans="1:33" x14ac:dyDescent="0.25">
      <c r="A42" s="31"/>
      <c r="B42" s="31"/>
      <c r="C42" s="31"/>
      <c r="D42" s="31"/>
      <c r="E42" s="31"/>
      <c r="F42" s="31"/>
      <c r="G42" s="31"/>
      <c r="H42" s="31"/>
      <c r="I42" s="31"/>
      <c r="J42" s="31"/>
      <c r="K42" s="31"/>
      <c r="L42" s="31"/>
      <c r="M42" s="31"/>
      <c r="N42" s="31"/>
      <c r="O42" s="31"/>
      <c r="P42" s="31"/>
      <c r="Q42" s="31"/>
      <c r="R42" s="31"/>
      <c r="S42" s="31"/>
      <c r="T42" s="31"/>
      <c r="U42" s="31"/>
      <c r="V42" s="31"/>
      <c r="W42" s="31"/>
      <c r="X42" s="31"/>
      <c r="Y42" s="31"/>
      <c r="Z42" s="31"/>
      <c r="AA42" s="31"/>
      <c r="AB42" s="31"/>
      <c r="AC42" s="31"/>
      <c r="AD42" s="31"/>
      <c r="AE42" s="31"/>
      <c r="AF42" s="31"/>
      <c r="AG42" s="31"/>
    </row>
    <row r="43" spans="1:33" x14ac:dyDescent="0.25">
      <c r="A43" s="31"/>
      <c r="B43" s="31"/>
      <c r="C43" s="31"/>
      <c r="D43" s="31"/>
      <c r="E43" s="31"/>
      <c r="F43" s="31"/>
      <c r="G43" s="31"/>
      <c r="H43" s="31"/>
      <c r="I43" s="31"/>
      <c r="J43" s="31"/>
      <c r="K43" s="31"/>
      <c r="L43" s="31"/>
      <c r="M43" s="31"/>
      <c r="N43" s="31"/>
      <c r="O43" s="31"/>
      <c r="P43" s="31"/>
      <c r="Q43" s="31"/>
      <c r="R43" s="31"/>
      <c r="S43" s="31"/>
      <c r="T43" s="31"/>
      <c r="U43" s="31"/>
      <c r="V43" s="31"/>
      <c r="W43" s="31"/>
      <c r="X43" s="31"/>
      <c r="Y43" s="31"/>
      <c r="Z43" s="31"/>
      <c r="AA43" s="31"/>
      <c r="AB43" s="31"/>
      <c r="AC43" s="31"/>
      <c r="AD43" s="31"/>
      <c r="AE43" s="31"/>
      <c r="AF43" s="31"/>
      <c r="AG43" s="31"/>
    </row>
    <row r="44" spans="1:33" x14ac:dyDescent="0.25">
      <c r="A44" s="31"/>
      <c r="B44" s="31"/>
      <c r="C44" s="31"/>
      <c r="D44" s="31"/>
      <c r="E44" s="31"/>
      <c r="F44" s="31"/>
      <c r="G44" s="31"/>
      <c r="H44" s="31"/>
      <c r="I44" s="31"/>
      <c r="J44" s="31"/>
      <c r="K44" s="31"/>
      <c r="L44" s="31"/>
      <c r="M44" s="31"/>
      <c r="N44" s="31"/>
      <c r="O44" s="31"/>
      <c r="P44" s="31"/>
      <c r="Q44" s="31"/>
      <c r="R44" s="31"/>
      <c r="S44" s="31"/>
      <c r="T44" s="31"/>
      <c r="U44" s="31"/>
      <c r="V44" s="31"/>
      <c r="W44" s="31"/>
      <c r="X44" s="31"/>
      <c r="Y44" s="31"/>
      <c r="Z44" s="31"/>
      <c r="AA44" s="31"/>
      <c r="AB44" s="31"/>
      <c r="AC44" s="31"/>
      <c r="AD44" s="31"/>
      <c r="AE44" s="31"/>
      <c r="AF44" s="31"/>
      <c r="AG44" s="31"/>
    </row>
    <row r="45" spans="1:33" x14ac:dyDescent="0.25">
      <c r="A45" s="31"/>
      <c r="B45" s="31"/>
      <c r="C45" s="31"/>
      <c r="D45" s="31"/>
      <c r="E45" s="31"/>
      <c r="F45" s="31"/>
      <c r="G45" s="31"/>
      <c r="H45" s="31"/>
      <c r="I45" s="31"/>
      <c r="J45" s="31"/>
      <c r="K45" s="31"/>
      <c r="L45" s="31"/>
      <c r="M45" s="31"/>
      <c r="N45" s="31"/>
      <c r="O45" s="31"/>
      <c r="P45" s="31"/>
      <c r="Q45" s="31"/>
      <c r="R45" s="31"/>
      <c r="S45" s="31"/>
      <c r="T45" s="31"/>
      <c r="U45" s="31"/>
      <c r="V45" s="31"/>
      <c r="W45" s="31"/>
      <c r="X45" s="31"/>
      <c r="Y45" s="31"/>
      <c r="Z45" s="31"/>
      <c r="AA45" s="31"/>
      <c r="AB45" s="31"/>
      <c r="AC45" s="31"/>
      <c r="AD45" s="31"/>
      <c r="AE45" s="31"/>
      <c r="AF45" s="31"/>
      <c r="AG45" s="31"/>
    </row>
    <row r="46" spans="1:33" x14ac:dyDescent="0.25">
      <c r="A46" s="31"/>
      <c r="B46" s="31"/>
      <c r="C46" s="31"/>
      <c r="D46" s="31"/>
      <c r="E46" s="31"/>
      <c r="F46" s="31"/>
      <c r="G46" s="31"/>
      <c r="H46" s="31"/>
      <c r="I46" s="31"/>
      <c r="J46" s="31"/>
      <c r="K46" s="31"/>
      <c r="L46" s="31"/>
      <c r="M46" s="31"/>
      <c r="N46" s="31"/>
      <c r="O46" s="31"/>
      <c r="P46" s="31"/>
      <c r="Q46" s="31"/>
      <c r="R46" s="31"/>
      <c r="S46" s="31"/>
      <c r="T46" s="31"/>
      <c r="U46" s="31"/>
      <c r="V46" s="31"/>
      <c r="W46" s="31"/>
      <c r="X46" s="31"/>
      <c r="Y46" s="31"/>
      <c r="Z46" s="31"/>
      <c r="AA46" s="31"/>
      <c r="AB46" s="31"/>
      <c r="AC46" s="31"/>
      <c r="AD46" s="31"/>
      <c r="AE46" s="31"/>
      <c r="AF46" s="31"/>
      <c r="AG46" s="31"/>
    </row>
    <row r="47" spans="1:33" x14ac:dyDescent="0.25">
      <c r="A47" s="31"/>
      <c r="B47" s="31"/>
      <c r="C47" s="31"/>
      <c r="D47" s="31"/>
      <c r="E47" s="31"/>
      <c r="F47" s="31"/>
      <c r="G47" s="31"/>
      <c r="H47" s="31"/>
      <c r="I47" s="31"/>
      <c r="J47" s="31"/>
      <c r="K47" s="31"/>
      <c r="L47" s="31"/>
      <c r="M47" s="31"/>
      <c r="N47" s="31"/>
      <c r="O47" s="31"/>
      <c r="P47" s="31"/>
      <c r="Q47" s="31"/>
      <c r="R47" s="31"/>
      <c r="S47" s="31"/>
      <c r="T47" s="31"/>
      <c r="U47" s="31"/>
      <c r="V47" s="31"/>
      <c r="W47" s="31"/>
      <c r="X47" s="31"/>
      <c r="Y47" s="31"/>
      <c r="Z47" s="31"/>
      <c r="AA47" s="31"/>
      <c r="AB47" s="31"/>
      <c r="AC47" s="31"/>
      <c r="AD47" s="31"/>
      <c r="AE47" s="31"/>
      <c r="AF47" s="31"/>
      <c r="AG47" s="31"/>
    </row>
    <row r="48" spans="1:33" x14ac:dyDescent="0.25">
      <c r="A48" s="31"/>
      <c r="B48" s="31"/>
      <c r="C48" s="31"/>
      <c r="D48" s="31"/>
      <c r="E48" s="31"/>
      <c r="F48" s="31"/>
      <c r="G48" s="31"/>
      <c r="H48" s="31"/>
      <c r="I48" s="31"/>
      <c r="J48" s="31"/>
      <c r="K48" s="31"/>
      <c r="L48" s="31"/>
      <c r="M48" s="31"/>
      <c r="N48" s="31"/>
      <c r="O48" s="31"/>
      <c r="P48" s="31"/>
      <c r="Q48" s="31"/>
      <c r="R48" s="31"/>
      <c r="S48" s="31"/>
      <c r="T48" s="31"/>
      <c r="U48" s="31"/>
      <c r="V48" s="31"/>
      <c r="W48" s="31"/>
      <c r="X48" s="31"/>
      <c r="Y48" s="31"/>
      <c r="Z48" s="31"/>
      <c r="AA48" s="31"/>
      <c r="AB48" s="31"/>
      <c r="AC48" s="31"/>
      <c r="AD48" s="31"/>
      <c r="AE48" s="31"/>
      <c r="AF48" s="31"/>
      <c r="AG48" s="31"/>
    </row>
    <row r="49" spans="1:33" x14ac:dyDescent="0.25">
      <c r="A49" s="31"/>
      <c r="B49" s="31"/>
      <c r="C49" s="31"/>
      <c r="D49" s="31"/>
      <c r="E49" s="31"/>
      <c r="F49" s="31"/>
      <c r="G49" s="31"/>
      <c r="H49" s="31"/>
      <c r="I49" s="31"/>
      <c r="J49" s="31"/>
      <c r="K49" s="31"/>
      <c r="L49" s="31"/>
      <c r="M49" s="31"/>
      <c r="N49" s="31"/>
      <c r="O49" s="31"/>
      <c r="P49" s="31"/>
      <c r="Q49" s="31"/>
      <c r="R49" s="31"/>
      <c r="S49" s="31"/>
      <c r="T49" s="31"/>
      <c r="U49" s="31"/>
      <c r="V49" s="31"/>
      <c r="W49" s="31"/>
      <c r="X49" s="31"/>
      <c r="Y49" s="31"/>
      <c r="Z49" s="31"/>
      <c r="AA49" s="31"/>
      <c r="AB49" s="31"/>
      <c r="AC49" s="31"/>
      <c r="AD49" s="31"/>
      <c r="AE49" s="31"/>
      <c r="AF49" s="31"/>
      <c r="AG49" s="31"/>
    </row>
    <row r="50" spans="1:33" x14ac:dyDescent="0.25">
      <c r="A50" s="31"/>
      <c r="B50" s="31"/>
      <c r="C50" s="31"/>
      <c r="D50" s="31"/>
      <c r="E50" s="31"/>
      <c r="F50" s="31"/>
      <c r="G50" s="31"/>
      <c r="H50" s="31"/>
      <c r="I50" s="31"/>
      <c r="J50" s="31"/>
      <c r="K50" s="31"/>
      <c r="L50" s="31"/>
      <c r="M50" s="31"/>
      <c r="N50" s="31"/>
      <c r="O50" s="31"/>
      <c r="P50" s="31"/>
      <c r="Q50" s="31"/>
      <c r="R50" s="31"/>
      <c r="S50" s="31"/>
      <c r="T50" s="31"/>
      <c r="U50" s="31"/>
      <c r="V50" s="31"/>
      <c r="W50" s="31"/>
      <c r="X50" s="31"/>
      <c r="Y50" s="31"/>
      <c r="Z50" s="31"/>
      <c r="AA50" s="31"/>
      <c r="AB50" s="31"/>
      <c r="AC50" s="31"/>
      <c r="AD50" s="31"/>
      <c r="AE50" s="31"/>
      <c r="AF50" s="31"/>
      <c r="AG50" s="31"/>
    </row>
    <row r="51" spans="1:33" x14ac:dyDescent="0.25">
      <c r="A51" s="31"/>
      <c r="B51" s="31"/>
      <c r="C51" s="31"/>
      <c r="D51" s="31"/>
      <c r="E51" s="31"/>
      <c r="F51" s="31"/>
      <c r="G51" s="31"/>
      <c r="H51" s="31"/>
      <c r="I51" s="31"/>
      <c r="J51" s="31"/>
      <c r="K51" s="31"/>
      <c r="L51" s="31"/>
      <c r="M51" s="31"/>
      <c r="N51" s="31"/>
      <c r="O51" s="31"/>
      <c r="P51" s="31"/>
      <c r="Q51" s="31"/>
      <c r="R51" s="31"/>
      <c r="S51" s="31"/>
      <c r="T51" s="31"/>
      <c r="U51" s="31"/>
      <c r="V51" s="31"/>
      <c r="W51" s="31"/>
      <c r="X51" s="31"/>
      <c r="Y51" s="31"/>
      <c r="Z51" s="31"/>
      <c r="AA51" s="31"/>
      <c r="AB51" s="31"/>
      <c r="AC51" s="31"/>
      <c r="AD51" s="31"/>
      <c r="AE51" s="31"/>
      <c r="AF51" s="31"/>
      <c r="AG51" s="31"/>
    </row>
    <row r="52" spans="1:33" x14ac:dyDescent="0.25">
      <c r="A52" s="31"/>
      <c r="B52" s="31"/>
      <c r="C52" s="31"/>
      <c r="D52" s="31"/>
      <c r="E52" s="31"/>
      <c r="F52" s="31"/>
      <c r="G52" s="31"/>
      <c r="H52" s="31"/>
      <c r="I52" s="31"/>
      <c r="J52" s="31"/>
      <c r="K52" s="31"/>
      <c r="L52" s="31"/>
      <c r="M52" s="31"/>
      <c r="N52" s="31"/>
      <c r="O52" s="31"/>
      <c r="P52" s="31"/>
      <c r="Q52" s="31"/>
      <c r="R52" s="31"/>
      <c r="S52" s="31"/>
      <c r="T52" s="31"/>
      <c r="U52" s="31"/>
      <c r="V52" s="31"/>
      <c r="W52" s="31"/>
      <c r="X52" s="31"/>
      <c r="Y52" s="31"/>
      <c r="Z52" s="31"/>
      <c r="AA52" s="31"/>
      <c r="AB52" s="31"/>
      <c r="AC52" s="31"/>
      <c r="AD52" s="31"/>
      <c r="AE52" s="31"/>
      <c r="AF52" s="31"/>
      <c r="AG52" s="31"/>
    </row>
    <row r="53" spans="1:33" x14ac:dyDescent="0.25">
      <c r="A53" s="31"/>
      <c r="B53" s="31"/>
      <c r="C53" s="31"/>
      <c r="D53" s="31"/>
      <c r="E53" s="31"/>
      <c r="F53" s="31"/>
      <c r="G53" s="31"/>
      <c r="H53" s="31"/>
      <c r="I53" s="31"/>
      <c r="J53" s="31"/>
      <c r="K53" s="31"/>
      <c r="L53" s="31"/>
      <c r="M53" s="31"/>
      <c r="N53" s="31"/>
      <c r="O53" s="31"/>
      <c r="P53" s="31"/>
      <c r="Q53" s="31"/>
      <c r="R53" s="31"/>
      <c r="S53" s="31"/>
      <c r="T53" s="31"/>
      <c r="U53" s="31"/>
      <c r="V53" s="31"/>
      <c r="W53" s="31"/>
      <c r="X53" s="31"/>
      <c r="Y53" s="31"/>
      <c r="Z53" s="31"/>
      <c r="AA53" s="31"/>
      <c r="AB53" s="31"/>
      <c r="AC53" s="31"/>
      <c r="AD53" s="31"/>
      <c r="AE53" s="31"/>
      <c r="AF53" s="31"/>
      <c r="AG53" s="31"/>
    </row>
    <row r="54" spans="1:33" x14ac:dyDescent="0.25">
      <c r="C54" s="31"/>
      <c r="D54" s="31"/>
      <c r="E54" s="31"/>
      <c r="F54" s="31"/>
      <c r="G54" s="31"/>
      <c r="H54" s="31"/>
      <c r="I54" s="31"/>
      <c r="J54" s="31"/>
      <c r="K54" s="31"/>
      <c r="L54" s="31"/>
      <c r="M54" s="31"/>
      <c r="N54" s="31"/>
      <c r="O54" s="31"/>
      <c r="P54" s="31"/>
      <c r="Q54" s="31"/>
      <c r="R54" s="31"/>
      <c r="S54" s="31"/>
      <c r="T54" s="31"/>
      <c r="U54" s="31"/>
      <c r="V54" s="31"/>
      <c r="W54" s="31"/>
      <c r="X54" s="31"/>
      <c r="Y54" s="31"/>
      <c r="Z54" s="31"/>
      <c r="AA54" s="31"/>
      <c r="AB54" s="31"/>
      <c r="AC54" s="31"/>
      <c r="AD54" s="31"/>
      <c r="AE54" s="31"/>
      <c r="AF54" s="31"/>
      <c r="AG54" s="31"/>
    </row>
    <row r="55" spans="1:33" x14ac:dyDescent="0.25">
      <c r="C55" s="31"/>
      <c r="D55" s="31"/>
      <c r="E55" s="31"/>
      <c r="F55" s="31"/>
      <c r="G55" s="31"/>
      <c r="H55" s="31"/>
      <c r="I55" s="31"/>
      <c r="J55" s="31"/>
      <c r="K55" s="31"/>
      <c r="L55" s="31"/>
      <c r="M55" s="31"/>
      <c r="N55" s="31"/>
      <c r="O55" s="31"/>
      <c r="P55" s="31"/>
      <c r="Q55" s="31"/>
      <c r="R55" s="31"/>
      <c r="S55" s="31"/>
      <c r="T55" s="31"/>
      <c r="U55" s="31"/>
      <c r="V55" s="31"/>
      <c r="W55" s="31"/>
      <c r="X55" s="31"/>
      <c r="Y55" s="31"/>
      <c r="Z55" s="31"/>
      <c r="AA55" s="31"/>
      <c r="AB55" s="31"/>
      <c r="AC55" s="31"/>
      <c r="AD55" s="31"/>
      <c r="AE55" s="31"/>
      <c r="AF55" s="31"/>
      <c r="AG55" s="31"/>
    </row>
    <row r="56" spans="1:33" x14ac:dyDescent="0.25">
      <c r="C56" s="31"/>
      <c r="D56" s="31"/>
      <c r="E56" s="31"/>
      <c r="F56" s="31"/>
      <c r="G56" s="31"/>
      <c r="H56" s="31"/>
      <c r="I56" s="31"/>
      <c r="J56" s="31"/>
      <c r="K56" s="31"/>
      <c r="L56" s="31"/>
      <c r="M56" s="31"/>
      <c r="N56" s="31"/>
      <c r="O56" s="31"/>
      <c r="P56" s="31"/>
      <c r="Q56" s="31"/>
      <c r="R56" s="31"/>
      <c r="S56" s="31"/>
      <c r="T56" s="31"/>
      <c r="U56" s="31"/>
      <c r="V56" s="31"/>
      <c r="W56" s="31"/>
      <c r="X56" s="31"/>
      <c r="Y56" s="31"/>
      <c r="Z56" s="31"/>
      <c r="AA56" s="31"/>
      <c r="AB56" s="31"/>
      <c r="AC56" s="31"/>
      <c r="AD56" s="31"/>
      <c r="AE56" s="31"/>
      <c r="AF56" s="31"/>
      <c r="AG56" s="31"/>
    </row>
    <row r="57" spans="1:33" x14ac:dyDescent="0.25">
      <c r="C57" s="31"/>
      <c r="D57" s="31"/>
      <c r="E57" s="31"/>
      <c r="F57" s="31"/>
      <c r="G57" s="31"/>
      <c r="H57" s="31"/>
      <c r="I57" s="31"/>
      <c r="J57" s="31"/>
      <c r="K57" s="31"/>
      <c r="L57" s="31"/>
      <c r="M57" s="31"/>
      <c r="N57" s="31"/>
      <c r="O57" s="31"/>
      <c r="P57" s="31"/>
      <c r="Q57" s="31"/>
      <c r="R57" s="31"/>
      <c r="S57" s="31"/>
      <c r="T57" s="31"/>
      <c r="U57" s="31"/>
      <c r="V57" s="31"/>
      <c r="W57" s="31"/>
      <c r="X57" s="31"/>
      <c r="Y57" s="31"/>
      <c r="Z57" s="31"/>
      <c r="AA57" s="31"/>
      <c r="AB57" s="31"/>
      <c r="AC57" s="31"/>
      <c r="AD57" s="31"/>
      <c r="AE57" s="31"/>
      <c r="AF57" s="31"/>
      <c r="AG57" s="31"/>
    </row>
    <row r="58" spans="1:33" x14ac:dyDescent="0.25">
      <c r="C58" s="31"/>
      <c r="D58" s="31"/>
      <c r="E58" s="31"/>
      <c r="F58" s="31"/>
      <c r="G58" s="31"/>
      <c r="H58" s="31"/>
      <c r="I58" s="31"/>
      <c r="J58" s="31"/>
      <c r="K58" s="31"/>
      <c r="L58" s="31"/>
      <c r="M58" s="31"/>
      <c r="N58" s="31"/>
      <c r="O58" s="31"/>
      <c r="P58" s="31"/>
      <c r="Q58" s="31"/>
      <c r="R58" s="31"/>
      <c r="S58" s="31"/>
      <c r="T58" s="31"/>
      <c r="U58" s="31"/>
      <c r="V58" s="31"/>
      <c r="W58" s="31"/>
      <c r="X58" s="31"/>
      <c r="Y58" s="31"/>
      <c r="Z58" s="31"/>
      <c r="AA58" s="31"/>
      <c r="AB58" s="31"/>
      <c r="AC58" s="31"/>
      <c r="AD58" s="31"/>
      <c r="AE58" s="31"/>
      <c r="AF58" s="31"/>
      <c r="AG58" s="31"/>
    </row>
    <row r="59" spans="1:33" x14ac:dyDescent="0.25">
      <c r="C59" s="31"/>
      <c r="D59" s="31"/>
      <c r="E59" s="31"/>
      <c r="F59" s="31"/>
      <c r="G59" s="31"/>
      <c r="H59" s="31"/>
      <c r="I59" s="31"/>
      <c r="J59" s="31"/>
      <c r="K59" s="31"/>
      <c r="L59" s="31"/>
      <c r="M59" s="31"/>
      <c r="N59" s="31"/>
      <c r="O59" s="31"/>
      <c r="P59" s="31"/>
      <c r="Q59" s="31"/>
      <c r="R59" s="31"/>
      <c r="S59" s="31"/>
      <c r="T59" s="31"/>
      <c r="U59" s="31"/>
      <c r="V59" s="31"/>
      <c r="W59" s="31"/>
      <c r="X59" s="31"/>
      <c r="Y59" s="31"/>
      <c r="Z59" s="31"/>
      <c r="AA59" s="31"/>
      <c r="AB59" s="31"/>
      <c r="AC59" s="31"/>
      <c r="AD59" s="31"/>
      <c r="AE59" s="31"/>
      <c r="AF59" s="31"/>
      <c r="AG59" s="31"/>
    </row>
    <row r="60" spans="1:33" x14ac:dyDescent="0.25">
      <c r="C60" s="31"/>
      <c r="D60" s="31"/>
      <c r="E60" s="31"/>
      <c r="F60" s="31"/>
      <c r="G60" s="31"/>
      <c r="H60" s="31"/>
      <c r="I60" s="31"/>
      <c r="J60" s="31"/>
      <c r="K60" s="31"/>
      <c r="L60" s="31"/>
      <c r="M60" s="31"/>
      <c r="N60" s="31"/>
      <c r="O60" s="31"/>
      <c r="P60" s="31"/>
      <c r="Q60" s="31"/>
      <c r="R60" s="31"/>
      <c r="S60" s="31"/>
      <c r="T60" s="31"/>
      <c r="U60" s="31"/>
      <c r="V60" s="31"/>
      <c r="W60" s="31"/>
      <c r="X60" s="31"/>
      <c r="Y60" s="31"/>
      <c r="Z60" s="31"/>
      <c r="AA60" s="31"/>
      <c r="AB60" s="31"/>
      <c r="AC60" s="31"/>
      <c r="AD60" s="31"/>
      <c r="AE60" s="31"/>
      <c r="AF60" s="31"/>
      <c r="AG60" s="31"/>
    </row>
    <row r="61" spans="1:33" x14ac:dyDescent="0.25">
      <c r="C61" s="31"/>
      <c r="D61" s="31"/>
      <c r="E61" s="31"/>
      <c r="F61" s="31"/>
      <c r="G61" s="31"/>
      <c r="H61" s="31"/>
      <c r="I61" s="31"/>
      <c r="J61" s="31"/>
      <c r="K61" s="31"/>
      <c r="L61" s="31"/>
      <c r="M61" s="31"/>
      <c r="N61" s="31"/>
      <c r="O61" s="31"/>
      <c r="P61" s="31"/>
      <c r="Q61" s="31"/>
      <c r="R61" s="31"/>
      <c r="S61" s="31"/>
      <c r="T61" s="31"/>
      <c r="U61" s="31"/>
      <c r="V61" s="31"/>
      <c r="W61" s="31"/>
      <c r="X61" s="31"/>
      <c r="Y61" s="31"/>
      <c r="Z61" s="31"/>
      <c r="AA61" s="31"/>
      <c r="AB61" s="31"/>
      <c r="AC61" s="31"/>
      <c r="AD61" s="31"/>
      <c r="AE61" s="31"/>
      <c r="AF61" s="31"/>
      <c r="AG61" s="31"/>
    </row>
    <row r="62" spans="1:33" x14ac:dyDescent="0.25">
      <c r="C62" s="31"/>
      <c r="D62" s="31"/>
      <c r="E62" s="31"/>
      <c r="F62" s="31"/>
      <c r="G62" s="31"/>
      <c r="H62" s="31"/>
      <c r="I62" s="31"/>
      <c r="J62" s="31"/>
      <c r="K62" s="31"/>
      <c r="L62" s="31"/>
      <c r="M62" s="31"/>
      <c r="N62" s="31"/>
      <c r="O62" s="31"/>
      <c r="P62" s="31"/>
      <c r="Q62" s="31"/>
      <c r="R62" s="31"/>
      <c r="S62" s="31"/>
      <c r="T62" s="31"/>
      <c r="U62" s="31"/>
      <c r="V62" s="31"/>
      <c r="W62" s="31"/>
      <c r="X62" s="31"/>
      <c r="Y62" s="31"/>
      <c r="Z62" s="31"/>
      <c r="AA62" s="31"/>
      <c r="AB62" s="31"/>
      <c r="AC62" s="31"/>
      <c r="AD62" s="31"/>
      <c r="AE62" s="31"/>
      <c r="AF62" s="31"/>
      <c r="AG62" s="31"/>
    </row>
  </sheetData>
  <conditionalFormatting sqref="Q27">
    <cfRule type="dataBar" priority="5">
      <dataBar>
        <cfvo type="num" val="0"/>
        <cfvo type="formula" val="&quot;max($S$20:$W$36)*2&quot;"/>
        <color theme="9" tint="0.39997558519241921"/>
      </dataBar>
      <extLst>
        <ext xmlns:x14="http://schemas.microsoft.com/office/spreadsheetml/2009/9/main" uri="{B025F937-C7B1-47D3-B67F-A62EFF666E3E}">
          <x14:id>{6438E1D4-B48E-44BF-846D-BCD77AB7B24F}</x14:id>
        </ext>
      </extLst>
    </cfRule>
  </conditionalFormatting>
  <conditionalFormatting sqref="S19:W36">
    <cfRule type="dataBar" priority="2">
      <dataBar>
        <cfvo type="num" val="0"/>
        <cfvo type="formula" val="&quot;max($S$19:$W$36)*2&quot;"/>
        <color rgb="FF638EC6"/>
      </dataBar>
      <extLst>
        <ext xmlns:x14="http://schemas.microsoft.com/office/spreadsheetml/2009/9/main" uri="{B025F937-C7B1-47D3-B67F-A62EFF666E3E}">
          <x14:id>{94B4608D-FA87-49C8-87FA-63A645DC22ED}</x14:id>
        </ext>
      </extLst>
    </cfRule>
  </conditionalFormatting>
  <conditionalFormatting sqref="S20:W36">
    <cfRule type="dataBar" priority="6">
      <dataBar>
        <cfvo type="min"/>
        <cfvo type="max"/>
        <color rgb="FF008AEF"/>
      </dataBar>
      <extLst>
        <ext xmlns:x14="http://schemas.microsoft.com/office/spreadsheetml/2009/9/main" uri="{B025F937-C7B1-47D3-B67F-A62EFF666E3E}">
          <x14:id>{FBC4A470-2ECB-4223-B859-B74618BB0713}</x14:id>
        </ext>
      </extLst>
    </cfRule>
  </conditionalFormatting>
  <conditionalFormatting sqref="U25">
    <cfRule type="dataBar" priority="3">
      <dataBar showValue="0">
        <cfvo type="num" val="0"/>
        <cfvo type="formula" val="&quot;max($S$20:$W$36)*2&quot;"/>
        <color rgb="FF638EC6"/>
      </dataBar>
      <extLst>
        <ext xmlns:x14="http://schemas.microsoft.com/office/spreadsheetml/2009/9/main" uri="{B025F937-C7B1-47D3-B67F-A62EFF666E3E}">
          <x14:id>{F031AD3A-B341-4C50-B5C7-66FDB174401E}</x14:id>
        </ext>
      </extLst>
    </cfRule>
    <cfRule type="dataBar" priority="4">
      <dataBar>
        <cfvo type="num" val="0"/>
        <cfvo type="formula" val="&quot;max($S$20:$W$36)*2&quot;"/>
        <color theme="9" tint="-0.249977111117893"/>
      </dataBar>
      <extLst>
        <ext xmlns:x14="http://schemas.microsoft.com/office/spreadsheetml/2009/9/main" uri="{B025F937-C7B1-47D3-B67F-A62EFF666E3E}">
          <x14:id>{518B22C0-B8CB-4750-AC57-58F476678D9A}</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6438E1D4-B48E-44BF-846D-BCD77AB7B24F}">
            <x14:dataBar minLength="0" maxLength="100" gradient="0">
              <x14:cfvo type="num">
                <xm:f>0</xm:f>
              </x14:cfvo>
              <x14:cfvo type="formula">
                <xm:f>"max($S$20:$W$36)*2"</xm:f>
              </x14:cfvo>
              <x14:negativeFillColor rgb="FFFF0000"/>
              <x14:axisColor rgb="FF000000"/>
            </x14:dataBar>
          </x14:cfRule>
          <xm:sqref>Q27</xm:sqref>
        </x14:conditionalFormatting>
        <x14:conditionalFormatting xmlns:xm="http://schemas.microsoft.com/office/excel/2006/main">
          <x14:cfRule type="expression" priority="1" id="{63565AC1-285C-401E-81A1-FF80635E56EF}">
            <xm:f>S$18='pivot tabel'!$D$49</xm:f>
            <x14:dxf>
              <fill>
                <patternFill>
                  <bgColor rgb="FF00B050"/>
                </patternFill>
              </fill>
            </x14:dxf>
          </x14:cfRule>
          <xm:sqref>S18:W36</xm:sqref>
        </x14:conditionalFormatting>
        <x14:conditionalFormatting xmlns:xm="http://schemas.microsoft.com/office/excel/2006/main">
          <x14:cfRule type="dataBar" id="{94B4608D-FA87-49C8-87FA-63A645DC22ED}">
            <x14:dataBar minLength="0" maxLength="100" gradient="0">
              <x14:cfvo type="num">
                <xm:f>0</xm:f>
              </x14:cfvo>
              <x14:cfvo type="formula">
                <xm:f>"max($S$19:$W$36)*2"</xm:f>
              </x14:cfvo>
              <x14:negativeFillColor rgb="FFFF0000"/>
              <x14:axisColor rgb="FF000000"/>
            </x14:dataBar>
          </x14:cfRule>
          <xm:sqref>S19:W36</xm:sqref>
        </x14:conditionalFormatting>
        <x14:conditionalFormatting xmlns:xm="http://schemas.microsoft.com/office/excel/2006/main">
          <x14:cfRule type="dataBar" id="{FBC4A470-2ECB-4223-B859-B74618BB0713}">
            <x14:dataBar minLength="0" maxLength="100" border="1" negativeBarBorderColorSameAsPositive="0">
              <x14:cfvo type="autoMin"/>
              <x14:cfvo type="autoMax"/>
              <x14:borderColor rgb="FF008AEF"/>
              <x14:negativeFillColor rgb="FFFF0000"/>
              <x14:negativeBorderColor rgb="FFFF0000"/>
              <x14:axisColor rgb="FF000000"/>
            </x14:dataBar>
          </x14:cfRule>
          <xm:sqref>S20:W36</xm:sqref>
        </x14:conditionalFormatting>
        <x14:conditionalFormatting xmlns:xm="http://schemas.microsoft.com/office/excel/2006/main">
          <x14:cfRule type="dataBar" id="{F031AD3A-B341-4C50-B5C7-66FDB174401E}">
            <x14:dataBar minLength="0" maxLength="100" gradient="0">
              <x14:cfvo type="num">
                <xm:f>0</xm:f>
              </x14:cfvo>
              <x14:cfvo type="formula">
                <xm:f>"max($S$20:$W$36)*2"</xm:f>
              </x14:cfvo>
              <x14:negativeFillColor rgb="FFFF0000"/>
              <x14:axisColor rgb="FF000000"/>
            </x14:dataBar>
          </x14:cfRule>
          <x14:cfRule type="dataBar" id="{518B22C0-B8CB-4750-AC57-58F476678D9A}">
            <x14:dataBar minLength="0" maxLength="100" gradient="0">
              <x14:cfvo type="num">
                <xm:f>0</xm:f>
              </x14:cfvo>
              <x14:cfvo type="formula">
                <xm:f>"max($S$20:$W$36)*2"</xm:f>
              </x14:cfvo>
              <x14:negativeFillColor rgb="FFFF0000"/>
              <x14:axisColor rgb="FF000000"/>
            </x14:dataBar>
          </x14:cfRule>
          <xm:sqref>U25</xm:sqref>
        </x14:conditionalFormatting>
      </x14:conditionalFormattings>
    </ex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O1003"/>
  <sheetViews>
    <sheetView zoomScale="116" zoomScaleNormal="115" workbookViewId="0">
      <selection activeCell="J5" sqref="J5"/>
    </sheetView>
  </sheetViews>
  <sheetFormatPr defaultRowHeight="13.8" x14ac:dyDescent="0.25"/>
  <cols>
    <col min="1" max="1" width="3.19921875" customWidth="1"/>
    <col min="2" max="2" width="14.59765625" customWidth="1"/>
    <col min="3" max="3" width="12.796875" customWidth="1"/>
    <col min="4" max="4" width="16.59765625" customWidth="1"/>
    <col min="5" max="5" width="15" customWidth="1"/>
    <col min="6" max="6" width="16.09765625" customWidth="1"/>
    <col min="7" max="7" width="17.09765625" customWidth="1"/>
    <col min="8" max="8" width="18.09765625" customWidth="1"/>
    <col min="9" max="9" width="11.5" customWidth="1"/>
    <col min="10" max="10" width="10.5" customWidth="1"/>
    <col min="11" max="11" width="6.3984375" customWidth="1"/>
    <col min="12" max="12" width="14.59765625" customWidth="1"/>
    <col min="15" max="15" width="10.59765625" customWidth="1"/>
  </cols>
  <sheetData>
    <row r="1" spans="2:15" s="5" customFormat="1" ht="48" customHeight="1" x14ac:dyDescent="0.25">
      <c r="B1" s="7" t="s">
        <v>1003</v>
      </c>
    </row>
    <row r="2" spans="2:15" x14ac:dyDescent="0.25">
      <c r="M2" s="1"/>
    </row>
    <row r="3" spans="2:15" x14ac:dyDescent="0.25">
      <c r="B3" s="10" t="s">
        <v>25</v>
      </c>
      <c r="C3" s="11" t="s">
        <v>0</v>
      </c>
      <c r="D3" s="12" t="s">
        <v>1</v>
      </c>
      <c r="E3" s="13" t="s">
        <v>3</v>
      </c>
      <c r="F3" s="13" t="s">
        <v>4</v>
      </c>
      <c r="G3" s="11" t="s">
        <v>2</v>
      </c>
      <c r="H3" s="14" t="s">
        <v>994</v>
      </c>
      <c r="I3" s="26" t="s">
        <v>1061</v>
      </c>
      <c r="J3" s="26" t="s">
        <v>1074</v>
      </c>
      <c r="L3" s="10" t="s">
        <v>0</v>
      </c>
      <c r="M3" s="11" t="s">
        <v>995</v>
      </c>
      <c r="N3" s="11" t="s">
        <v>996</v>
      </c>
      <c r="O3" s="14" t="s">
        <v>997</v>
      </c>
    </row>
    <row r="4" spans="2:15" x14ac:dyDescent="0.25">
      <c r="B4" s="8" t="s">
        <v>26</v>
      </c>
      <c r="C4" s="2" t="s">
        <v>20</v>
      </c>
      <c r="D4" s="2">
        <v>116</v>
      </c>
      <c r="E4" s="3" t="s">
        <v>10</v>
      </c>
      <c r="F4" s="6">
        <v>44927</v>
      </c>
      <c r="G4" s="2">
        <v>128</v>
      </c>
      <c r="H4" s="9">
        <v>4.9000000000000004</v>
      </c>
      <c r="I4">
        <f>ROUND(calls[[#This Row],[Satisfaction Rating]],0)</f>
        <v>5</v>
      </c>
      <c r="J4" t="str">
        <f>TEXT(calls[[#This Row],[Date of Call]],"DDDD")</f>
        <v>Sunday</v>
      </c>
      <c r="L4" s="8" t="s">
        <v>17</v>
      </c>
      <c r="M4" s="4" t="s">
        <v>998</v>
      </c>
      <c r="N4" s="2">
        <v>41</v>
      </c>
      <c r="O4" s="9" t="s">
        <v>1000</v>
      </c>
    </row>
    <row r="5" spans="2:15" x14ac:dyDescent="0.25">
      <c r="B5" s="8" t="s">
        <v>27</v>
      </c>
      <c r="C5" s="2" t="s">
        <v>12</v>
      </c>
      <c r="D5" s="2">
        <v>119</v>
      </c>
      <c r="E5" s="3" t="s">
        <v>10</v>
      </c>
      <c r="F5" s="6">
        <v>44927</v>
      </c>
      <c r="G5" s="2">
        <v>135</v>
      </c>
      <c r="H5" s="9">
        <v>2.9</v>
      </c>
      <c r="I5">
        <f>ROUND(calls[[#This Row],[Satisfaction Rating]],0)</f>
        <v>3</v>
      </c>
      <c r="J5" t="str">
        <f>TEXT(calls[[#This Row],[Date of Call]],"DDDD")</f>
        <v>Sunday</v>
      </c>
      <c r="L5" s="8" t="s">
        <v>24</v>
      </c>
      <c r="M5" s="4" t="s">
        <v>998</v>
      </c>
      <c r="N5" s="2">
        <v>31</v>
      </c>
      <c r="O5" s="9" t="s">
        <v>1001</v>
      </c>
    </row>
    <row r="6" spans="2:15" x14ac:dyDescent="0.25">
      <c r="B6" s="8" t="s">
        <v>28</v>
      </c>
      <c r="C6" s="2" t="s">
        <v>23</v>
      </c>
      <c r="D6" s="2">
        <v>68</v>
      </c>
      <c r="E6" s="3" t="s">
        <v>9</v>
      </c>
      <c r="F6" s="6">
        <v>44927</v>
      </c>
      <c r="G6" s="2">
        <v>66</v>
      </c>
      <c r="H6" s="9">
        <v>4.7</v>
      </c>
      <c r="I6">
        <f>ROUND(calls[[#This Row],[Satisfaction Rating]],0)</f>
        <v>5</v>
      </c>
      <c r="J6" t="str">
        <f>TEXT(calls[[#This Row],[Date of Call]],"DDDD")</f>
        <v>Sunday</v>
      </c>
      <c r="L6" s="8" t="s">
        <v>20</v>
      </c>
      <c r="M6" s="4" t="s">
        <v>998</v>
      </c>
      <c r="N6" s="2">
        <v>26</v>
      </c>
      <c r="O6" s="9" t="s">
        <v>1002</v>
      </c>
    </row>
    <row r="7" spans="2:15" x14ac:dyDescent="0.25">
      <c r="B7" s="8" t="s">
        <v>29</v>
      </c>
      <c r="C7" s="2" t="s">
        <v>21</v>
      </c>
      <c r="D7" s="2">
        <v>119</v>
      </c>
      <c r="E7" s="3" t="s">
        <v>9</v>
      </c>
      <c r="F7" s="6">
        <v>44927</v>
      </c>
      <c r="G7" s="2">
        <v>22</v>
      </c>
      <c r="H7" s="9">
        <v>2.9</v>
      </c>
      <c r="I7">
        <f>ROUND(calls[[#This Row],[Satisfaction Rating]],0)</f>
        <v>3</v>
      </c>
      <c r="J7" t="str">
        <f>TEXT(calls[[#This Row],[Date of Call]],"DDDD")</f>
        <v>Sunday</v>
      </c>
      <c r="L7" s="8" t="s">
        <v>12</v>
      </c>
      <c r="M7" s="4" t="s">
        <v>998</v>
      </c>
      <c r="N7" s="2">
        <v>36</v>
      </c>
      <c r="O7" s="9" t="s">
        <v>1002</v>
      </c>
    </row>
    <row r="8" spans="2:15" x14ac:dyDescent="0.25">
      <c r="B8" s="8" t="s">
        <v>30</v>
      </c>
      <c r="C8" s="2" t="s">
        <v>8</v>
      </c>
      <c r="D8" s="2">
        <v>128</v>
      </c>
      <c r="E8" s="3" t="s">
        <v>11</v>
      </c>
      <c r="F8" s="6">
        <v>44928</v>
      </c>
      <c r="G8" s="2">
        <v>31</v>
      </c>
      <c r="H8" s="9">
        <v>2.8</v>
      </c>
      <c r="I8">
        <f>ROUND(calls[[#This Row],[Satisfaction Rating]],0)</f>
        <v>3</v>
      </c>
      <c r="J8" t="str">
        <f>TEXT(calls[[#This Row],[Date of Call]],"DDDD")</f>
        <v>Monday</v>
      </c>
      <c r="L8" s="8" t="s">
        <v>23</v>
      </c>
      <c r="M8" s="4" t="s">
        <v>998</v>
      </c>
      <c r="N8" s="2">
        <v>37</v>
      </c>
      <c r="O8" s="9" t="s">
        <v>1000</v>
      </c>
    </row>
    <row r="9" spans="2:15" x14ac:dyDescent="0.25">
      <c r="B9" s="8" t="s">
        <v>31</v>
      </c>
      <c r="C9" s="2" t="s">
        <v>8</v>
      </c>
      <c r="D9" s="2">
        <v>49</v>
      </c>
      <c r="E9" s="3" t="s">
        <v>9</v>
      </c>
      <c r="F9" s="6">
        <v>44929</v>
      </c>
      <c r="G9" s="2">
        <v>135</v>
      </c>
      <c r="H9" s="9">
        <v>4.8</v>
      </c>
      <c r="I9">
        <f>ROUND(calls[[#This Row],[Satisfaction Rating]],0)</f>
        <v>5</v>
      </c>
      <c r="J9" t="str">
        <f>TEXT(calls[[#This Row],[Date of Call]],"DDDD")</f>
        <v>Tuesday</v>
      </c>
      <c r="L9" s="8" t="s">
        <v>7</v>
      </c>
      <c r="M9" s="4" t="s">
        <v>998</v>
      </c>
      <c r="N9" s="2">
        <v>23</v>
      </c>
      <c r="O9" s="9" t="s">
        <v>1000</v>
      </c>
    </row>
    <row r="10" spans="2:15" x14ac:dyDescent="0.25">
      <c r="B10" s="8" t="s">
        <v>32</v>
      </c>
      <c r="C10" s="2" t="s">
        <v>15</v>
      </c>
      <c r="D10" s="2">
        <v>84</v>
      </c>
      <c r="E10" s="3" t="s">
        <v>10</v>
      </c>
      <c r="F10" s="6">
        <v>44929</v>
      </c>
      <c r="G10" s="2">
        <v>60</v>
      </c>
      <c r="H10" s="9">
        <v>4.7</v>
      </c>
      <c r="I10">
        <f>ROUND(calls[[#This Row],[Satisfaction Rating]],0)</f>
        <v>5</v>
      </c>
      <c r="J10" t="str">
        <f>TEXT(calls[[#This Row],[Date of Call]],"DDDD")</f>
        <v>Tuesday</v>
      </c>
      <c r="L10" s="8" t="s">
        <v>15</v>
      </c>
      <c r="M10" s="4" t="s">
        <v>999</v>
      </c>
      <c r="N10" s="2">
        <v>22</v>
      </c>
      <c r="O10" s="9" t="s">
        <v>1001</v>
      </c>
    </row>
    <row r="11" spans="2:15" x14ac:dyDescent="0.25">
      <c r="B11" s="8" t="s">
        <v>33</v>
      </c>
      <c r="C11" s="2" t="s">
        <v>20</v>
      </c>
      <c r="D11" s="2">
        <v>103</v>
      </c>
      <c r="E11" s="3" t="s">
        <v>13</v>
      </c>
      <c r="F11" s="6">
        <v>44929</v>
      </c>
      <c r="G11" s="2">
        <v>148</v>
      </c>
      <c r="H11" s="9">
        <v>4.4000000000000004</v>
      </c>
      <c r="I11">
        <f>ROUND(calls[[#This Row],[Satisfaction Rating]],0)</f>
        <v>4</v>
      </c>
      <c r="J11" t="str">
        <f>TEXT(calls[[#This Row],[Date of Call]],"DDDD")</f>
        <v>Tuesday</v>
      </c>
      <c r="L11" s="8" t="s">
        <v>5</v>
      </c>
      <c r="M11" s="4" t="s">
        <v>999</v>
      </c>
      <c r="N11" s="2">
        <v>42</v>
      </c>
      <c r="O11" s="9" t="s">
        <v>1001</v>
      </c>
    </row>
    <row r="12" spans="2:15" x14ac:dyDescent="0.25">
      <c r="B12" s="8" t="s">
        <v>34</v>
      </c>
      <c r="C12" s="2" t="s">
        <v>23</v>
      </c>
      <c r="D12" s="2">
        <v>31</v>
      </c>
      <c r="E12" s="3" t="s">
        <v>9</v>
      </c>
      <c r="F12" s="6">
        <v>44929</v>
      </c>
      <c r="G12" s="2">
        <v>135</v>
      </c>
      <c r="H12" s="9">
        <v>3.6</v>
      </c>
      <c r="I12">
        <f>ROUND(calls[[#This Row],[Satisfaction Rating]],0)</f>
        <v>4</v>
      </c>
      <c r="J12" t="str">
        <f>TEXT(calls[[#This Row],[Date of Call]],"DDDD")</f>
        <v>Tuesday</v>
      </c>
      <c r="L12" s="8" t="s">
        <v>22</v>
      </c>
      <c r="M12" s="4" t="s">
        <v>999</v>
      </c>
      <c r="N12" s="2">
        <v>25</v>
      </c>
      <c r="O12" s="9" t="s">
        <v>1000</v>
      </c>
    </row>
    <row r="13" spans="2:15" x14ac:dyDescent="0.25">
      <c r="B13" s="8" t="s">
        <v>35</v>
      </c>
      <c r="C13" s="2" t="s">
        <v>18</v>
      </c>
      <c r="D13" s="2">
        <v>44</v>
      </c>
      <c r="E13" s="3" t="s">
        <v>6</v>
      </c>
      <c r="F13" s="6">
        <v>44929</v>
      </c>
      <c r="G13" s="2">
        <v>105</v>
      </c>
      <c r="H13" s="9">
        <v>2.9</v>
      </c>
      <c r="I13">
        <f>ROUND(calls[[#This Row],[Satisfaction Rating]],0)</f>
        <v>3</v>
      </c>
      <c r="J13" t="str">
        <f>TEXT(calls[[#This Row],[Date of Call]],"DDDD")</f>
        <v>Tuesday</v>
      </c>
      <c r="L13" s="8" t="s">
        <v>18</v>
      </c>
      <c r="M13" s="4" t="s">
        <v>999</v>
      </c>
      <c r="N13" s="2">
        <v>30</v>
      </c>
      <c r="O13" s="9" t="s">
        <v>1001</v>
      </c>
    </row>
    <row r="14" spans="2:15" x14ac:dyDescent="0.25">
      <c r="B14" s="8" t="s">
        <v>36</v>
      </c>
      <c r="C14" s="2" t="s">
        <v>8</v>
      </c>
      <c r="D14" s="2">
        <v>102</v>
      </c>
      <c r="E14" s="3" t="s">
        <v>9</v>
      </c>
      <c r="F14" s="6">
        <v>44929</v>
      </c>
      <c r="G14" s="2">
        <v>69</v>
      </c>
      <c r="H14" s="9">
        <v>4.9000000000000004</v>
      </c>
      <c r="I14">
        <f>ROUND(calls[[#This Row],[Satisfaction Rating]],0)</f>
        <v>5</v>
      </c>
      <c r="J14" t="str">
        <f>TEXT(calls[[#This Row],[Date of Call]],"DDDD")</f>
        <v>Tuesday</v>
      </c>
      <c r="L14" s="8" t="s">
        <v>8</v>
      </c>
      <c r="M14" s="4" t="s">
        <v>999</v>
      </c>
      <c r="N14" s="2">
        <v>30</v>
      </c>
      <c r="O14" s="9" t="s">
        <v>1002</v>
      </c>
    </row>
    <row r="15" spans="2:15" x14ac:dyDescent="0.25">
      <c r="B15" s="8" t="s">
        <v>37</v>
      </c>
      <c r="C15" s="2" t="s">
        <v>14</v>
      </c>
      <c r="D15" s="2">
        <v>135</v>
      </c>
      <c r="E15" s="3" t="s">
        <v>10</v>
      </c>
      <c r="F15" s="6">
        <v>44929</v>
      </c>
      <c r="G15" s="2">
        <v>46</v>
      </c>
      <c r="H15" s="9">
        <v>3.4</v>
      </c>
      <c r="I15">
        <f>ROUND(calls[[#This Row],[Satisfaction Rating]],0)</f>
        <v>3</v>
      </c>
      <c r="J15" t="str">
        <f>TEXT(calls[[#This Row],[Date of Call]],"DDDD")</f>
        <v>Tuesday</v>
      </c>
      <c r="L15" s="8" t="s">
        <v>16</v>
      </c>
      <c r="M15" s="4" t="s">
        <v>999</v>
      </c>
      <c r="N15" s="2">
        <v>28</v>
      </c>
      <c r="O15" s="9" t="s">
        <v>1002</v>
      </c>
    </row>
    <row r="16" spans="2:15" x14ac:dyDescent="0.25">
      <c r="B16" s="8" t="s">
        <v>38</v>
      </c>
      <c r="C16" s="2" t="s">
        <v>24</v>
      </c>
      <c r="D16" s="2">
        <v>98</v>
      </c>
      <c r="E16" s="3" t="s">
        <v>9</v>
      </c>
      <c r="F16" s="6">
        <v>44930</v>
      </c>
      <c r="G16" s="2">
        <v>108</v>
      </c>
      <c r="H16" s="9">
        <v>3.5</v>
      </c>
      <c r="I16">
        <f>ROUND(calls[[#This Row],[Satisfaction Rating]],0)</f>
        <v>4</v>
      </c>
      <c r="J16" t="str">
        <f>TEXT(calls[[#This Row],[Date of Call]],"DDDD")</f>
        <v>Wednesday</v>
      </c>
      <c r="L16" s="8" t="s">
        <v>14</v>
      </c>
      <c r="M16" s="4" t="s">
        <v>999</v>
      </c>
      <c r="N16" s="2">
        <v>37</v>
      </c>
      <c r="O16" s="9" t="s">
        <v>1001</v>
      </c>
    </row>
    <row r="17" spans="2:15" x14ac:dyDescent="0.25">
      <c r="B17" s="8" t="s">
        <v>39</v>
      </c>
      <c r="C17" s="2" t="s">
        <v>18</v>
      </c>
      <c r="D17" s="2">
        <v>139</v>
      </c>
      <c r="E17" s="3" t="s">
        <v>9</v>
      </c>
      <c r="F17" s="6">
        <v>44930</v>
      </c>
      <c r="G17" s="2">
        <v>96</v>
      </c>
      <c r="H17" s="9">
        <v>4</v>
      </c>
      <c r="I17">
        <f>ROUND(calls[[#This Row],[Satisfaction Rating]],0)</f>
        <v>4</v>
      </c>
      <c r="J17" t="str">
        <f>TEXT(calls[[#This Row],[Date of Call]],"DDDD")</f>
        <v>Wednesday</v>
      </c>
      <c r="L17" s="8" t="s">
        <v>21</v>
      </c>
      <c r="M17" s="4" t="s">
        <v>999</v>
      </c>
      <c r="N17" s="2">
        <v>38</v>
      </c>
      <c r="O17" s="9" t="s">
        <v>1000</v>
      </c>
    </row>
    <row r="18" spans="2:15" x14ac:dyDescent="0.25">
      <c r="B18" s="8" t="s">
        <v>40</v>
      </c>
      <c r="C18" s="2" t="s">
        <v>14</v>
      </c>
      <c r="D18" s="2">
        <v>48</v>
      </c>
      <c r="E18" s="3" t="s">
        <v>11</v>
      </c>
      <c r="F18" s="6">
        <v>44930</v>
      </c>
      <c r="G18" s="2">
        <v>68</v>
      </c>
      <c r="H18" s="9">
        <v>4.9000000000000004</v>
      </c>
      <c r="I18">
        <f>ROUND(calls[[#This Row],[Satisfaction Rating]],0)</f>
        <v>5</v>
      </c>
      <c r="J18" t="str">
        <f>TEXT(calls[[#This Row],[Date of Call]],"DDDD")</f>
        <v>Wednesday</v>
      </c>
      <c r="L18" s="15" t="s">
        <v>19</v>
      </c>
      <c r="M18" s="25" t="s">
        <v>999</v>
      </c>
      <c r="N18" s="16">
        <v>43</v>
      </c>
      <c r="O18" s="19" t="s">
        <v>1001</v>
      </c>
    </row>
    <row r="19" spans="2:15" x14ac:dyDescent="0.25">
      <c r="B19" s="8" t="s">
        <v>41</v>
      </c>
      <c r="C19" s="2" t="s">
        <v>18</v>
      </c>
      <c r="D19" s="2">
        <v>176</v>
      </c>
      <c r="E19" s="3" t="s">
        <v>10</v>
      </c>
      <c r="F19" s="6">
        <v>44931</v>
      </c>
      <c r="G19" s="2">
        <v>24</v>
      </c>
      <c r="H19" s="9">
        <v>4.8</v>
      </c>
      <c r="I19">
        <f>ROUND(calls[[#This Row],[Satisfaction Rating]],0)</f>
        <v>5</v>
      </c>
      <c r="J19" t="str">
        <f>TEXT(calls[[#This Row],[Date of Call]],"DDDD")</f>
        <v>Thursday</v>
      </c>
    </row>
    <row r="20" spans="2:15" x14ac:dyDescent="0.25">
      <c r="B20" s="8" t="s">
        <v>42</v>
      </c>
      <c r="C20" s="2" t="s">
        <v>18</v>
      </c>
      <c r="D20" s="2">
        <v>99</v>
      </c>
      <c r="E20" s="3" t="s">
        <v>11</v>
      </c>
      <c r="F20" s="6">
        <v>44931</v>
      </c>
      <c r="G20" s="2">
        <v>195</v>
      </c>
      <c r="H20" s="9">
        <v>3.9</v>
      </c>
      <c r="I20">
        <f>ROUND(calls[[#This Row],[Satisfaction Rating]],0)</f>
        <v>4</v>
      </c>
      <c r="J20" t="str">
        <f>TEXT(calls[[#This Row],[Date of Call]],"DDDD")</f>
        <v>Thursday</v>
      </c>
    </row>
    <row r="21" spans="2:15" x14ac:dyDescent="0.25">
      <c r="B21" s="8" t="s">
        <v>43</v>
      </c>
      <c r="C21" s="2" t="s">
        <v>22</v>
      </c>
      <c r="D21" s="2">
        <v>28</v>
      </c>
      <c r="E21" s="3" t="s">
        <v>6</v>
      </c>
      <c r="F21" s="6">
        <v>44931</v>
      </c>
      <c r="G21" s="2">
        <v>28</v>
      </c>
      <c r="H21" s="9">
        <v>3.8</v>
      </c>
      <c r="I21">
        <f>ROUND(calls[[#This Row],[Satisfaction Rating]],0)</f>
        <v>4</v>
      </c>
      <c r="J21" t="str">
        <f>TEXT(calls[[#This Row],[Date of Call]],"DDDD")</f>
        <v>Thursday</v>
      </c>
    </row>
    <row r="22" spans="2:15" x14ac:dyDescent="0.25">
      <c r="B22" s="8" t="s">
        <v>44</v>
      </c>
      <c r="C22" s="2" t="s">
        <v>15</v>
      </c>
      <c r="D22" s="2">
        <v>54</v>
      </c>
      <c r="E22" s="3" t="s">
        <v>9</v>
      </c>
      <c r="F22" s="6">
        <v>44931</v>
      </c>
      <c r="G22" s="2">
        <v>170</v>
      </c>
      <c r="H22" s="9">
        <v>4.3</v>
      </c>
      <c r="I22">
        <f>ROUND(calls[[#This Row],[Satisfaction Rating]],0)</f>
        <v>4</v>
      </c>
      <c r="J22" t="str">
        <f>TEXT(calls[[#This Row],[Date of Call]],"DDDD")</f>
        <v>Thursday</v>
      </c>
    </row>
    <row r="23" spans="2:15" x14ac:dyDescent="0.25">
      <c r="B23" s="8" t="s">
        <v>45</v>
      </c>
      <c r="C23" s="2" t="s">
        <v>7</v>
      </c>
      <c r="D23" s="2">
        <v>48</v>
      </c>
      <c r="E23" s="3" t="s">
        <v>10</v>
      </c>
      <c r="F23" s="6">
        <v>44932</v>
      </c>
      <c r="G23" s="2">
        <v>30</v>
      </c>
      <c r="H23" s="9">
        <v>4.4000000000000004</v>
      </c>
      <c r="I23">
        <f>ROUND(calls[[#This Row],[Satisfaction Rating]],0)</f>
        <v>4</v>
      </c>
      <c r="J23" t="str">
        <f>TEXT(calls[[#This Row],[Date of Call]],"DDDD")</f>
        <v>Friday</v>
      </c>
    </row>
    <row r="24" spans="2:15" x14ac:dyDescent="0.25">
      <c r="B24" s="8" t="s">
        <v>46</v>
      </c>
      <c r="C24" s="2" t="s">
        <v>12</v>
      </c>
      <c r="D24" s="2">
        <v>128</v>
      </c>
      <c r="E24" s="3" t="s">
        <v>10</v>
      </c>
      <c r="F24" s="6">
        <v>44932</v>
      </c>
      <c r="G24" s="2">
        <v>72</v>
      </c>
      <c r="H24" s="9">
        <v>5</v>
      </c>
      <c r="I24">
        <f>ROUND(calls[[#This Row],[Satisfaction Rating]],0)</f>
        <v>5</v>
      </c>
      <c r="J24" t="str">
        <f>TEXT(calls[[#This Row],[Date of Call]],"DDDD")</f>
        <v>Friday</v>
      </c>
    </row>
    <row r="25" spans="2:15" x14ac:dyDescent="0.25">
      <c r="B25" s="8" t="s">
        <v>47</v>
      </c>
      <c r="C25" s="2" t="s">
        <v>12</v>
      </c>
      <c r="D25" s="2">
        <v>38</v>
      </c>
      <c r="E25" s="3" t="s">
        <v>13</v>
      </c>
      <c r="F25" s="6">
        <v>44933</v>
      </c>
      <c r="G25" s="2">
        <v>92</v>
      </c>
      <c r="H25" s="9">
        <v>4.9000000000000004</v>
      </c>
      <c r="I25">
        <f>ROUND(calls[[#This Row],[Satisfaction Rating]],0)</f>
        <v>5</v>
      </c>
      <c r="J25" t="str">
        <f>TEXT(calls[[#This Row],[Date of Call]],"DDDD")</f>
        <v>Saturday</v>
      </c>
    </row>
    <row r="26" spans="2:15" x14ac:dyDescent="0.25">
      <c r="B26" s="8" t="s">
        <v>48</v>
      </c>
      <c r="C26" s="2" t="s">
        <v>20</v>
      </c>
      <c r="D26" s="2">
        <v>67</v>
      </c>
      <c r="E26" s="3" t="s">
        <v>13</v>
      </c>
      <c r="F26" s="6">
        <v>44934</v>
      </c>
      <c r="G26" s="2">
        <v>165</v>
      </c>
      <c r="H26" s="9">
        <v>4.5</v>
      </c>
      <c r="I26">
        <f>ROUND(calls[[#This Row],[Satisfaction Rating]],0)</f>
        <v>5</v>
      </c>
      <c r="J26" t="str">
        <f>TEXT(calls[[#This Row],[Date of Call]],"DDDD")</f>
        <v>Sunday</v>
      </c>
    </row>
    <row r="27" spans="2:15" x14ac:dyDescent="0.25">
      <c r="B27" s="8" t="s">
        <v>49</v>
      </c>
      <c r="C27" s="2" t="s">
        <v>19</v>
      </c>
      <c r="D27" s="2">
        <v>58</v>
      </c>
      <c r="E27" s="3" t="s">
        <v>9</v>
      </c>
      <c r="F27" s="6">
        <v>44934</v>
      </c>
      <c r="G27" s="2">
        <v>140</v>
      </c>
      <c r="H27" s="9">
        <v>2.1</v>
      </c>
      <c r="I27">
        <f>ROUND(calls[[#This Row],[Satisfaction Rating]],0)</f>
        <v>2</v>
      </c>
      <c r="J27" t="str">
        <f>TEXT(calls[[#This Row],[Date of Call]],"DDDD")</f>
        <v>Sunday</v>
      </c>
    </row>
    <row r="28" spans="2:15" x14ac:dyDescent="0.25">
      <c r="B28" s="8" t="s">
        <v>50</v>
      </c>
      <c r="C28" s="2" t="s">
        <v>18</v>
      </c>
      <c r="D28" s="2">
        <v>54</v>
      </c>
      <c r="E28" s="3" t="s">
        <v>11</v>
      </c>
      <c r="F28" s="6">
        <v>44934</v>
      </c>
      <c r="G28" s="2">
        <v>111</v>
      </c>
      <c r="H28" s="9">
        <v>3.3</v>
      </c>
      <c r="I28">
        <f>ROUND(calls[[#This Row],[Satisfaction Rating]],0)</f>
        <v>3</v>
      </c>
      <c r="J28" t="str">
        <f>TEXT(calls[[#This Row],[Date of Call]],"DDDD")</f>
        <v>Sunday</v>
      </c>
    </row>
    <row r="29" spans="2:15" x14ac:dyDescent="0.25">
      <c r="B29" s="8" t="s">
        <v>51</v>
      </c>
      <c r="C29" s="2" t="s">
        <v>16</v>
      </c>
      <c r="D29" s="2">
        <v>28</v>
      </c>
      <c r="E29" s="3" t="s">
        <v>10</v>
      </c>
      <c r="F29" s="6">
        <v>44935</v>
      </c>
      <c r="G29" s="2">
        <v>63</v>
      </c>
      <c r="H29" s="9">
        <v>4.0999999999999996</v>
      </c>
      <c r="I29">
        <f>ROUND(calls[[#This Row],[Satisfaction Rating]],0)</f>
        <v>4</v>
      </c>
      <c r="J29" t="str">
        <f>TEXT(calls[[#This Row],[Date of Call]],"DDDD")</f>
        <v>Monday</v>
      </c>
    </row>
    <row r="30" spans="2:15" x14ac:dyDescent="0.25">
      <c r="B30" s="8" t="s">
        <v>52</v>
      </c>
      <c r="C30" s="2" t="s">
        <v>24</v>
      </c>
      <c r="D30" s="2">
        <v>73</v>
      </c>
      <c r="E30" s="3" t="s">
        <v>10</v>
      </c>
      <c r="F30" s="6">
        <v>44935</v>
      </c>
      <c r="G30" s="2">
        <v>80</v>
      </c>
      <c r="H30" s="9">
        <v>4.2</v>
      </c>
      <c r="I30">
        <f>ROUND(calls[[#This Row],[Satisfaction Rating]],0)</f>
        <v>4</v>
      </c>
      <c r="J30" t="str">
        <f>TEXT(calls[[#This Row],[Date of Call]],"DDDD")</f>
        <v>Monday</v>
      </c>
    </row>
    <row r="31" spans="2:15" x14ac:dyDescent="0.25">
      <c r="B31" s="8" t="s">
        <v>53</v>
      </c>
      <c r="C31" s="2" t="s">
        <v>8</v>
      </c>
      <c r="D31" s="2">
        <v>81</v>
      </c>
      <c r="E31" s="3" t="s">
        <v>10</v>
      </c>
      <c r="F31" s="6">
        <v>44936</v>
      </c>
      <c r="G31" s="2">
        <v>50</v>
      </c>
      <c r="H31" s="9">
        <v>4.5999999999999996</v>
      </c>
      <c r="I31">
        <f>ROUND(calls[[#This Row],[Satisfaction Rating]],0)</f>
        <v>5</v>
      </c>
      <c r="J31" t="str">
        <f>TEXT(calls[[#This Row],[Date of Call]],"DDDD")</f>
        <v>Tuesday</v>
      </c>
    </row>
    <row r="32" spans="2:15" x14ac:dyDescent="0.25">
      <c r="B32" s="8" t="s">
        <v>54</v>
      </c>
      <c r="C32" s="2" t="s">
        <v>22</v>
      </c>
      <c r="D32" s="2">
        <v>31</v>
      </c>
      <c r="E32" s="3" t="s">
        <v>13</v>
      </c>
      <c r="F32" s="6">
        <v>44936</v>
      </c>
      <c r="G32" s="2">
        <v>123</v>
      </c>
      <c r="H32" s="9">
        <v>2.9</v>
      </c>
      <c r="I32">
        <f>ROUND(calls[[#This Row],[Satisfaction Rating]],0)</f>
        <v>3</v>
      </c>
      <c r="J32" t="str">
        <f>TEXT(calls[[#This Row],[Date of Call]],"DDDD")</f>
        <v>Tuesday</v>
      </c>
    </row>
    <row r="33" spans="2:10" x14ac:dyDescent="0.25">
      <c r="B33" s="8" t="s">
        <v>55</v>
      </c>
      <c r="C33" s="2" t="s">
        <v>19</v>
      </c>
      <c r="D33" s="2">
        <v>155</v>
      </c>
      <c r="E33" s="3" t="s">
        <v>11</v>
      </c>
      <c r="F33" s="6">
        <v>44936</v>
      </c>
      <c r="G33" s="2">
        <v>110</v>
      </c>
      <c r="H33" s="9">
        <v>4.8</v>
      </c>
      <c r="I33">
        <f>ROUND(calls[[#This Row],[Satisfaction Rating]],0)</f>
        <v>5</v>
      </c>
      <c r="J33" t="str">
        <f>TEXT(calls[[#This Row],[Date of Call]],"DDDD")</f>
        <v>Tuesday</v>
      </c>
    </row>
    <row r="34" spans="2:10" x14ac:dyDescent="0.25">
      <c r="B34" s="8" t="s">
        <v>56</v>
      </c>
      <c r="C34" s="2" t="s">
        <v>22</v>
      </c>
      <c r="D34" s="2">
        <v>80</v>
      </c>
      <c r="E34" s="3" t="s">
        <v>10</v>
      </c>
      <c r="F34" s="6">
        <v>44936</v>
      </c>
      <c r="G34" s="2">
        <v>140</v>
      </c>
      <c r="H34" s="9">
        <v>4.2</v>
      </c>
      <c r="I34">
        <f>ROUND(calls[[#This Row],[Satisfaction Rating]],0)</f>
        <v>4</v>
      </c>
      <c r="J34" t="str">
        <f>TEXT(calls[[#This Row],[Date of Call]],"DDDD")</f>
        <v>Tuesday</v>
      </c>
    </row>
    <row r="35" spans="2:10" x14ac:dyDescent="0.25">
      <c r="B35" s="8" t="s">
        <v>57</v>
      </c>
      <c r="C35" s="2" t="s">
        <v>8</v>
      </c>
      <c r="D35" s="2">
        <v>82</v>
      </c>
      <c r="E35" s="3" t="s">
        <v>10</v>
      </c>
      <c r="F35" s="6">
        <v>44938</v>
      </c>
      <c r="G35" s="2">
        <v>42</v>
      </c>
      <c r="H35" s="9">
        <v>3.7</v>
      </c>
      <c r="I35">
        <f>ROUND(calls[[#This Row],[Satisfaction Rating]],0)</f>
        <v>4</v>
      </c>
      <c r="J35" t="str">
        <f>TEXT(calls[[#This Row],[Date of Call]],"DDDD")</f>
        <v>Thursday</v>
      </c>
    </row>
    <row r="36" spans="2:10" x14ac:dyDescent="0.25">
      <c r="B36" s="8" t="s">
        <v>58</v>
      </c>
      <c r="C36" s="2" t="s">
        <v>8</v>
      </c>
      <c r="D36" s="2">
        <v>29</v>
      </c>
      <c r="E36" s="3" t="s">
        <v>11</v>
      </c>
      <c r="F36" s="6">
        <v>44938</v>
      </c>
      <c r="G36" s="2">
        <v>170</v>
      </c>
      <c r="H36" s="9">
        <v>5</v>
      </c>
      <c r="I36">
        <f>ROUND(calls[[#This Row],[Satisfaction Rating]],0)</f>
        <v>5</v>
      </c>
      <c r="J36" t="str">
        <f>TEXT(calls[[#This Row],[Date of Call]],"DDDD")</f>
        <v>Thursday</v>
      </c>
    </row>
    <row r="37" spans="2:10" x14ac:dyDescent="0.25">
      <c r="B37" s="8" t="s">
        <v>59</v>
      </c>
      <c r="C37" s="2" t="s">
        <v>7</v>
      </c>
      <c r="D37" s="2">
        <v>160</v>
      </c>
      <c r="E37" s="3" t="s">
        <v>9</v>
      </c>
      <c r="F37" s="6">
        <v>44940</v>
      </c>
      <c r="G37" s="2">
        <v>105</v>
      </c>
      <c r="H37" s="9">
        <v>5</v>
      </c>
      <c r="I37">
        <f>ROUND(calls[[#This Row],[Satisfaction Rating]],0)</f>
        <v>5</v>
      </c>
      <c r="J37" t="str">
        <f>TEXT(calls[[#This Row],[Date of Call]],"DDDD")</f>
        <v>Saturday</v>
      </c>
    </row>
    <row r="38" spans="2:10" x14ac:dyDescent="0.25">
      <c r="B38" s="8" t="s">
        <v>60</v>
      </c>
      <c r="C38" s="2" t="s">
        <v>17</v>
      </c>
      <c r="D38" s="2">
        <v>105</v>
      </c>
      <c r="E38" s="3" t="s">
        <v>10</v>
      </c>
      <c r="F38" s="6">
        <v>44941</v>
      </c>
      <c r="G38" s="2">
        <v>125</v>
      </c>
      <c r="H38" s="9">
        <v>4.8</v>
      </c>
      <c r="I38">
        <f>ROUND(calls[[#This Row],[Satisfaction Rating]],0)</f>
        <v>5</v>
      </c>
      <c r="J38" t="str">
        <f>TEXT(calls[[#This Row],[Date of Call]],"DDDD")</f>
        <v>Sunday</v>
      </c>
    </row>
    <row r="39" spans="2:10" x14ac:dyDescent="0.25">
      <c r="B39" s="8" t="s">
        <v>61</v>
      </c>
      <c r="C39" s="2" t="s">
        <v>22</v>
      </c>
      <c r="D39" s="2">
        <v>75</v>
      </c>
      <c r="E39" s="3" t="s">
        <v>6</v>
      </c>
      <c r="F39" s="6">
        <v>44941</v>
      </c>
      <c r="G39" s="2">
        <v>26</v>
      </c>
      <c r="H39" s="9">
        <v>2.4</v>
      </c>
      <c r="I39">
        <f>ROUND(calls[[#This Row],[Satisfaction Rating]],0)</f>
        <v>2</v>
      </c>
      <c r="J39" t="str">
        <f>TEXT(calls[[#This Row],[Date of Call]],"DDDD")</f>
        <v>Sunday</v>
      </c>
    </row>
    <row r="40" spans="2:10" x14ac:dyDescent="0.25">
      <c r="B40" s="8" t="s">
        <v>62</v>
      </c>
      <c r="C40" s="2" t="s">
        <v>19</v>
      </c>
      <c r="D40" s="2">
        <v>94</v>
      </c>
      <c r="E40" s="3" t="s">
        <v>6</v>
      </c>
      <c r="F40" s="6">
        <v>44942</v>
      </c>
      <c r="G40" s="2">
        <v>120</v>
      </c>
      <c r="H40" s="9">
        <v>3.1</v>
      </c>
      <c r="I40">
        <f>ROUND(calls[[#This Row],[Satisfaction Rating]],0)</f>
        <v>3</v>
      </c>
      <c r="J40" t="str">
        <f>TEXT(calls[[#This Row],[Date of Call]],"DDDD")</f>
        <v>Monday</v>
      </c>
    </row>
    <row r="41" spans="2:10" x14ac:dyDescent="0.25">
      <c r="B41" s="8" t="s">
        <v>63</v>
      </c>
      <c r="C41" s="2" t="s">
        <v>12</v>
      </c>
      <c r="D41" s="2">
        <v>90</v>
      </c>
      <c r="E41" s="3" t="s">
        <v>9</v>
      </c>
      <c r="F41" s="6">
        <v>44942</v>
      </c>
      <c r="G41" s="2">
        <v>132</v>
      </c>
      <c r="H41" s="9">
        <v>3.2</v>
      </c>
      <c r="I41">
        <f>ROUND(calls[[#This Row],[Satisfaction Rating]],0)</f>
        <v>3</v>
      </c>
      <c r="J41" t="str">
        <f>TEXT(calls[[#This Row],[Date of Call]],"DDDD")</f>
        <v>Monday</v>
      </c>
    </row>
    <row r="42" spans="2:10" x14ac:dyDescent="0.25">
      <c r="B42" s="8" t="s">
        <v>64</v>
      </c>
      <c r="C42" s="2" t="s">
        <v>19</v>
      </c>
      <c r="D42" s="2">
        <v>81</v>
      </c>
      <c r="E42" s="3" t="s">
        <v>13</v>
      </c>
      <c r="F42" s="6">
        <v>44943</v>
      </c>
      <c r="G42" s="2">
        <v>86</v>
      </c>
      <c r="H42" s="9">
        <v>2.4</v>
      </c>
      <c r="I42">
        <f>ROUND(calls[[#This Row],[Satisfaction Rating]],0)</f>
        <v>2</v>
      </c>
      <c r="J42" t="str">
        <f>TEXT(calls[[#This Row],[Date of Call]],"DDDD")</f>
        <v>Tuesday</v>
      </c>
    </row>
    <row r="43" spans="2:10" x14ac:dyDescent="0.25">
      <c r="B43" s="8" t="s">
        <v>65</v>
      </c>
      <c r="C43" s="2" t="s">
        <v>22</v>
      </c>
      <c r="D43" s="2">
        <v>106</v>
      </c>
      <c r="E43" s="3" t="s">
        <v>10</v>
      </c>
      <c r="F43" s="6">
        <v>44943</v>
      </c>
      <c r="G43" s="2">
        <v>108</v>
      </c>
      <c r="H43" s="9">
        <v>5</v>
      </c>
      <c r="I43">
        <f>ROUND(calls[[#This Row],[Satisfaction Rating]],0)</f>
        <v>5</v>
      </c>
      <c r="J43" t="str">
        <f>TEXT(calls[[#This Row],[Date of Call]],"DDDD")</f>
        <v>Tuesday</v>
      </c>
    </row>
    <row r="44" spans="2:10" x14ac:dyDescent="0.25">
      <c r="B44" s="8" t="s">
        <v>66</v>
      </c>
      <c r="C44" s="2" t="s">
        <v>12</v>
      </c>
      <c r="D44" s="2">
        <v>74</v>
      </c>
      <c r="E44" s="3" t="s">
        <v>13</v>
      </c>
      <c r="F44" s="6">
        <v>44943</v>
      </c>
      <c r="G44" s="2">
        <v>96</v>
      </c>
      <c r="H44" s="9">
        <v>4.7</v>
      </c>
      <c r="I44">
        <f>ROUND(calls[[#This Row],[Satisfaction Rating]],0)</f>
        <v>5</v>
      </c>
      <c r="J44" t="str">
        <f>TEXT(calls[[#This Row],[Date of Call]],"DDDD")</f>
        <v>Tuesday</v>
      </c>
    </row>
    <row r="45" spans="2:10" x14ac:dyDescent="0.25">
      <c r="B45" s="8" t="s">
        <v>67</v>
      </c>
      <c r="C45" s="2" t="s">
        <v>18</v>
      </c>
      <c r="D45" s="2">
        <v>105</v>
      </c>
      <c r="E45" s="3" t="s">
        <v>9</v>
      </c>
      <c r="F45" s="6">
        <v>44944</v>
      </c>
      <c r="G45" s="2">
        <v>80</v>
      </c>
      <c r="H45" s="9">
        <v>4.7</v>
      </c>
      <c r="I45">
        <f>ROUND(calls[[#This Row],[Satisfaction Rating]],0)</f>
        <v>5</v>
      </c>
      <c r="J45" t="str">
        <f>TEXT(calls[[#This Row],[Date of Call]],"DDDD")</f>
        <v>Wednesday</v>
      </c>
    </row>
    <row r="46" spans="2:10" x14ac:dyDescent="0.25">
      <c r="B46" s="8" t="s">
        <v>68</v>
      </c>
      <c r="C46" s="2" t="s">
        <v>22</v>
      </c>
      <c r="D46" s="2">
        <v>89</v>
      </c>
      <c r="E46" s="3" t="s">
        <v>10</v>
      </c>
      <c r="F46" s="6">
        <v>44944</v>
      </c>
      <c r="G46" s="2">
        <v>155</v>
      </c>
      <c r="H46" s="9">
        <v>4.0999999999999996</v>
      </c>
      <c r="I46">
        <f>ROUND(calls[[#This Row],[Satisfaction Rating]],0)</f>
        <v>4</v>
      </c>
      <c r="J46" t="str">
        <f>TEXT(calls[[#This Row],[Date of Call]],"DDDD")</f>
        <v>Wednesday</v>
      </c>
    </row>
    <row r="47" spans="2:10" x14ac:dyDescent="0.25">
      <c r="B47" s="8" t="s">
        <v>69</v>
      </c>
      <c r="C47" s="2" t="s">
        <v>14</v>
      </c>
      <c r="D47" s="2">
        <v>132</v>
      </c>
      <c r="E47" s="3" t="s">
        <v>6</v>
      </c>
      <c r="F47" s="6">
        <v>44944</v>
      </c>
      <c r="G47" s="2">
        <v>168</v>
      </c>
      <c r="H47" s="9">
        <v>4.0999999999999996</v>
      </c>
      <c r="I47">
        <f>ROUND(calls[[#This Row],[Satisfaction Rating]],0)</f>
        <v>4</v>
      </c>
      <c r="J47" t="str">
        <f>TEXT(calls[[#This Row],[Date of Call]],"DDDD")</f>
        <v>Wednesday</v>
      </c>
    </row>
    <row r="48" spans="2:10" x14ac:dyDescent="0.25">
      <c r="B48" s="8" t="s">
        <v>70</v>
      </c>
      <c r="C48" s="2" t="s">
        <v>17</v>
      </c>
      <c r="D48" s="2">
        <v>105</v>
      </c>
      <c r="E48" s="3" t="s">
        <v>11</v>
      </c>
      <c r="F48" s="6">
        <v>44944</v>
      </c>
      <c r="G48" s="2">
        <v>56</v>
      </c>
      <c r="H48" s="9">
        <v>3.6</v>
      </c>
      <c r="I48">
        <f>ROUND(calls[[#This Row],[Satisfaction Rating]],0)</f>
        <v>4</v>
      </c>
      <c r="J48" t="str">
        <f>TEXT(calls[[#This Row],[Date of Call]],"DDDD")</f>
        <v>Wednesday</v>
      </c>
    </row>
    <row r="49" spans="2:10" x14ac:dyDescent="0.25">
      <c r="B49" s="8" t="s">
        <v>71</v>
      </c>
      <c r="C49" s="2" t="s">
        <v>8</v>
      </c>
      <c r="D49" s="2">
        <v>13</v>
      </c>
      <c r="E49" s="3" t="s">
        <v>6</v>
      </c>
      <c r="F49" s="6">
        <v>44945</v>
      </c>
      <c r="G49" s="2">
        <v>32</v>
      </c>
      <c r="H49" s="9">
        <v>4.4000000000000004</v>
      </c>
      <c r="I49">
        <f>ROUND(calls[[#This Row],[Satisfaction Rating]],0)</f>
        <v>4</v>
      </c>
      <c r="J49" t="str">
        <f>TEXT(calls[[#This Row],[Date of Call]],"DDDD")</f>
        <v>Thursday</v>
      </c>
    </row>
    <row r="50" spans="2:10" x14ac:dyDescent="0.25">
      <c r="B50" s="8" t="s">
        <v>72</v>
      </c>
      <c r="C50" s="2" t="s">
        <v>21</v>
      </c>
      <c r="D50" s="2">
        <v>131</v>
      </c>
      <c r="E50" s="3" t="s">
        <v>11</v>
      </c>
      <c r="F50" s="6">
        <v>44945</v>
      </c>
      <c r="G50" s="2">
        <v>78</v>
      </c>
      <c r="H50" s="9">
        <v>4.4000000000000004</v>
      </c>
      <c r="I50">
        <f>ROUND(calls[[#This Row],[Satisfaction Rating]],0)</f>
        <v>4</v>
      </c>
      <c r="J50" t="str">
        <f>TEXT(calls[[#This Row],[Date of Call]],"DDDD")</f>
        <v>Thursday</v>
      </c>
    </row>
    <row r="51" spans="2:10" x14ac:dyDescent="0.25">
      <c r="B51" s="8" t="s">
        <v>73</v>
      </c>
      <c r="C51" s="2" t="s">
        <v>12</v>
      </c>
      <c r="D51" s="2">
        <v>104</v>
      </c>
      <c r="E51" s="3" t="s">
        <v>10</v>
      </c>
      <c r="F51" s="6">
        <v>44945</v>
      </c>
      <c r="G51" s="2">
        <v>86</v>
      </c>
      <c r="H51" s="9">
        <v>4</v>
      </c>
      <c r="I51">
        <f>ROUND(calls[[#This Row],[Satisfaction Rating]],0)</f>
        <v>4</v>
      </c>
      <c r="J51" t="str">
        <f>TEXT(calls[[#This Row],[Date of Call]],"DDDD")</f>
        <v>Thursday</v>
      </c>
    </row>
    <row r="52" spans="2:10" x14ac:dyDescent="0.25">
      <c r="B52" s="8" t="s">
        <v>74</v>
      </c>
      <c r="C52" s="2" t="s">
        <v>20</v>
      </c>
      <c r="D52" s="2">
        <v>90</v>
      </c>
      <c r="E52" s="3" t="s">
        <v>9</v>
      </c>
      <c r="F52" s="6">
        <v>44946</v>
      </c>
      <c r="G52" s="2">
        <v>64</v>
      </c>
      <c r="H52" s="9">
        <v>3.8</v>
      </c>
      <c r="I52">
        <f>ROUND(calls[[#This Row],[Satisfaction Rating]],0)</f>
        <v>4</v>
      </c>
      <c r="J52" t="str">
        <f>TEXT(calls[[#This Row],[Date of Call]],"DDDD")</f>
        <v>Friday</v>
      </c>
    </row>
    <row r="53" spans="2:10" x14ac:dyDescent="0.25">
      <c r="B53" s="8" t="s">
        <v>75</v>
      </c>
      <c r="C53" s="2" t="s">
        <v>16</v>
      </c>
      <c r="D53" s="2">
        <v>37</v>
      </c>
      <c r="E53" s="3" t="s">
        <v>9</v>
      </c>
      <c r="F53" s="6">
        <v>44946</v>
      </c>
      <c r="G53" s="2">
        <v>96</v>
      </c>
      <c r="H53" s="9">
        <v>3.6</v>
      </c>
      <c r="I53">
        <f>ROUND(calls[[#This Row],[Satisfaction Rating]],0)</f>
        <v>4</v>
      </c>
      <c r="J53" t="str">
        <f>TEXT(calls[[#This Row],[Date of Call]],"DDDD")</f>
        <v>Friday</v>
      </c>
    </row>
    <row r="54" spans="2:10" x14ac:dyDescent="0.25">
      <c r="B54" s="8" t="s">
        <v>76</v>
      </c>
      <c r="C54" s="2" t="s">
        <v>24</v>
      </c>
      <c r="D54" s="2">
        <v>149</v>
      </c>
      <c r="E54" s="3" t="s">
        <v>11</v>
      </c>
      <c r="F54" s="6">
        <v>44946</v>
      </c>
      <c r="G54" s="2">
        <v>72</v>
      </c>
      <c r="H54" s="9">
        <v>4.3</v>
      </c>
      <c r="I54">
        <f>ROUND(calls[[#This Row],[Satisfaction Rating]],0)</f>
        <v>4</v>
      </c>
      <c r="J54" t="str">
        <f>TEXT(calls[[#This Row],[Date of Call]],"DDDD")</f>
        <v>Friday</v>
      </c>
    </row>
    <row r="55" spans="2:10" x14ac:dyDescent="0.25">
      <c r="B55" s="8" t="s">
        <v>77</v>
      </c>
      <c r="C55" s="2" t="s">
        <v>14</v>
      </c>
      <c r="D55" s="2">
        <v>100</v>
      </c>
      <c r="E55" s="3" t="s">
        <v>13</v>
      </c>
      <c r="F55" s="6">
        <v>44947</v>
      </c>
      <c r="G55" s="2">
        <v>135</v>
      </c>
      <c r="H55" s="9">
        <v>3.8</v>
      </c>
      <c r="I55">
        <f>ROUND(calls[[#This Row],[Satisfaction Rating]],0)</f>
        <v>4</v>
      </c>
      <c r="J55" t="str">
        <f>TEXT(calls[[#This Row],[Date of Call]],"DDDD")</f>
        <v>Saturday</v>
      </c>
    </row>
    <row r="56" spans="2:10" x14ac:dyDescent="0.25">
      <c r="B56" s="8" t="s">
        <v>78</v>
      </c>
      <c r="C56" s="2" t="s">
        <v>14</v>
      </c>
      <c r="D56" s="2">
        <v>79</v>
      </c>
      <c r="E56" s="3" t="s">
        <v>6</v>
      </c>
      <c r="F56" s="6">
        <v>44947</v>
      </c>
      <c r="G56" s="2">
        <v>140</v>
      </c>
      <c r="H56" s="9">
        <v>4.5</v>
      </c>
      <c r="I56">
        <f>ROUND(calls[[#This Row],[Satisfaction Rating]],0)</f>
        <v>5</v>
      </c>
      <c r="J56" t="str">
        <f>TEXT(calls[[#This Row],[Date of Call]],"DDDD")</f>
        <v>Saturday</v>
      </c>
    </row>
    <row r="57" spans="2:10" x14ac:dyDescent="0.25">
      <c r="B57" s="8" t="s">
        <v>79</v>
      </c>
      <c r="C57" s="2" t="s">
        <v>5</v>
      </c>
      <c r="D57" s="2">
        <v>157</v>
      </c>
      <c r="E57" s="3" t="s">
        <v>11</v>
      </c>
      <c r="F57" s="6">
        <v>44947</v>
      </c>
      <c r="G57" s="2">
        <v>69</v>
      </c>
      <c r="H57" s="9">
        <v>4.5</v>
      </c>
      <c r="I57">
        <f>ROUND(calls[[#This Row],[Satisfaction Rating]],0)</f>
        <v>5</v>
      </c>
      <c r="J57" t="str">
        <f>TEXT(calls[[#This Row],[Date of Call]],"DDDD")</f>
        <v>Saturday</v>
      </c>
    </row>
    <row r="58" spans="2:10" x14ac:dyDescent="0.25">
      <c r="B58" s="8" t="s">
        <v>80</v>
      </c>
      <c r="C58" s="2" t="s">
        <v>14</v>
      </c>
      <c r="D58" s="2">
        <v>59</v>
      </c>
      <c r="E58" s="3" t="s">
        <v>10</v>
      </c>
      <c r="F58" s="6">
        <v>44948</v>
      </c>
      <c r="G58" s="2">
        <v>136</v>
      </c>
      <c r="H58" s="9">
        <v>4.5999999999999996</v>
      </c>
      <c r="I58">
        <f>ROUND(calls[[#This Row],[Satisfaction Rating]],0)</f>
        <v>5</v>
      </c>
      <c r="J58" t="str">
        <f>TEXT(calls[[#This Row],[Date of Call]],"DDDD")</f>
        <v>Sunday</v>
      </c>
    </row>
    <row r="59" spans="2:10" x14ac:dyDescent="0.25">
      <c r="B59" s="8" t="s">
        <v>81</v>
      </c>
      <c r="C59" s="2" t="s">
        <v>16</v>
      </c>
      <c r="D59" s="2">
        <v>83</v>
      </c>
      <c r="E59" s="3" t="s">
        <v>11</v>
      </c>
      <c r="F59" s="6">
        <v>44948</v>
      </c>
      <c r="G59" s="2">
        <v>28</v>
      </c>
      <c r="H59" s="9">
        <v>4.5</v>
      </c>
      <c r="I59">
        <f>ROUND(calls[[#This Row],[Satisfaction Rating]],0)</f>
        <v>5</v>
      </c>
      <c r="J59" t="str">
        <f>TEXT(calls[[#This Row],[Date of Call]],"DDDD")</f>
        <v>Sunday</v>
      </c>
    </row>
    <row r="60" spans="2:10" x14ac:dyDescent="0.25">
      <c r="B60" s="8" t="s">
        <v>82</v>
      </c>
      <c r="C60" s="2" t="s">
        <v>5</v>
      </c>
      <c r="D60" s="2">
        <v>58</v>
      </c>
      <c r="E60" s="3" t="s">
        <v>9</v>
      </c>
      <c r="F60" s="6">
        <v>44949</v>
      </c>
      <c r="G60" s="2">
        <v>135</v>
      </c>
      <c r="H60" s="9">
        <v>3.3</v>
      </c>
      <c r="I60">
        <f>ROUND(calls[[#This Row],[Satisfaction Rating]],0)</f>
        <v>3</v>
      </c>
      <c r="J60" t="str">
        <f>TEXT(calls[[#This Row],[Date of Call]],"DDDD")</f>
        <v>Monday</v>
      </c>
    </row>
    <row r="61" spans="2:10" x14ac:dyDescent="0.25">
      <c r="B61" s="8" t="s">
        <v>83</v>
      </c>
      <c r="C61" s="2" t="s">
        <v>19</v>
      </c>
      <c r="D61" s="2">
        <v>118</v>
      </c>
      <c r="E61" s="3" t="s">
        <v>9</v>
      </c>
      <c r="F61" s="6">
        <v>44949</v>
      </c>
      <c r="G61" s="2">
        <v>126</v>
      </c>
      <c r="H61" s="9">
        <v>2.2999999999999998</v>
      </c>
      <c r="I61">
        <f>ROUND(calls[[#This Row],[Satisfaction Rating]],0)</f>
        <v>2</v>
      </c>
      <c r="J61" t="str">
        <f>TEXT(calls[[#This Row],[Date of Call]],"DDDD")</f>
        <v>Monday</v>
      </c>
    </row>
    <row r="62" spans="2:10" x14ac:dyDescent="0.25">
      <c r="B62" s="8" t="s">
        <v>84</v>
      </c>
      <c r="C62" s="2" t="s">
        <v>8</v>
      </c>
      <c r="D62" s="2">
        <v>63</v>
      </c>
      <c r="E62" s="3" t="s">
        <v>10</v>
      </c>
      <c r="F62" s="6">
        <v>44949</v>
      </c>
      <c r="G62" s="2">
        <v>160</v>
      </c>
      <c r="H62" s="9">
        <v>4.3</v>
      </c>
      <c r="I62">
        <f>ROUND(calls[[#This Row],[Satisfaction Rating]],0)</f>
        <v>4</v>
      </c>
      <c r="J62" t="str">
        <f>TEXT(calls[[#This Row],[Date of Call]],"DDDD")</f>
        <v>Monday</v>
      </c>
    </row>
    <row r="63" spans="2:10" x14ac:dyDescent="0.25">
      <c r="B63" s="8" t="s">
        <v>85</v>
      </c>
      <c r="C63" s="2" t="s">
        <v>5</v>
      </c>
      <c r="D63" s="2">
        <v>95</v>
      </c>
      <c r="E63" s="3" t="s">
        <v>9</v>
      </c>
      <c r="F63" s="6">
        <v>44950</v>
      </c>
      <c r="G63" s="2">
        <v>48</v>
      </c>
      <c r="H63" s="9">
        <v>4.5999999999999996</v>
      </c>
      <c r="I63">
        <f>ROUND(calls[[#This Row],[Satisfaction Rating]],0)</f>
        <v>5</v>
      </c>
      <c r="J63" t="str">
        <f>TEXT(calls[[#This Row],[Date of Call]],"DDDD")</f>
        <v>Tuesday</v>
      </c>
    </row>
    <row r="64" spans="2:10" x14ac:dyDescent="0.25">
      <c r="B64" s="8" t="s">
        <v>86</v>
      </c>
      <c r="C64" s="2" t="s">
        <v>14</v>
      </c>
      <c r="D64" s="2">
        <v>74</v>
      </c>
      <c r="E64" s="3" t="s">
        <v>11</v>
      </c>
      <c r="F64" s="6">
        <v>44950</v>
      </c>
      <c r="G64" s="2">
        <v>66</v>
      </c>
      <c r="H64" s="9">
        <v>4</v>
      </c>
      <c r="I64">
        <f>ROUND(calls[[#This Row],[Satisfaction Rating]],0)</f>
        <v>4</v>
      </c>
      <c r="J64" t="str">
        <f>TEXT(calls[[#This Row],[Date of Call]],"DDDD")</f>
        <v>Tuesday</v>
      </c>
    </row>
    <row r="65" spans="2:10" x14ac:dyDescent="0.25">
      <c r="B65" s="8" t="s">
        <v>87</v>
      </c>
      <c r="C65" s="2" t="s">
        <v>18</v>
      </c>
      <c r="D65" s="2">
        <v>130</v>
      </c>
      <c r="E65" s="3" t="s">
        <v>13</v>
      </c>
      <c r="F65" s="6">
        <v>44950</v>
      </c>
      <c r="G65" s="2">
        <v>126</v>
      </c>
      <c r="H65" s="9">
        <v>2.5</v>
      </c>
      <c r="I65">
        <f>ROUND(calls[[#This Row],[Satisfaction Rating]],0)</f>
        <v>3</v>
      </c>
      <c r="J65" t="str">
        <f>TEXT(calls[[#This Row],[Date of Call]],"DDDD")</f>
        <v>Tuesday</v>
      </c>
    </row>
    <row r="66" spans="2:10" x14ac:dyDescent="0.25">
      <c r="B66" s="8" t="s">
        <v>88</v>
      </c>
      <c r="C66" s="2" t="s">
        <v>19</v>
      </c>
      <c r="D66" s="2">
        <v>110</v>
      </c>
      <c r="E66" s="3" t="s">
        <v>6</v>
      </c>
      <c r="F66" s="6">
        <v>44950</v>
      </c>
      <c r="G66" s="2">
        <v>96</v>
      </c>
      <c r="H66" s="9">
        <v>5</v>
      </c>
      <c r="I66">
        <f>ROUND(calls[[#This Row],[Satisfaction Rating]],0)</f>
        <v>5</v>
      </c>
      <c r="J66" t="str">
        <f>TEXT(calls[[#This Row],[Date of Call]],"DDDD")</f>
        <v>Tuesday</v>
      </c>
    </row>
    <row r="67" spans="2:10" x14ac:dyDescent="0.25">
      <c r="B67" s="8" t="s">
        <v>89</v>
      </c>
      <c r="C67" s="2" t="s">
        <v>14</v>
      </c>
      <c r="D67" s="2">
        <v>71</v>
      </c>
      <c r="E67" s="3" t="s">
        <v>10</v>
      </c>
      <c r="F67" s="6">
        <v>44951</v>
      </c>
      <c r="G67" s="2">
        <v>90</v>
      </c>
      <c r="H67" s="9">
        <v>3.8</v>
      </c>
      <c r="I67">
        <f>ROUND(calls[[#This Row],[Satisfaction Rating]],0)</f>
        <v>4</v>
      </c>
      <c r="J67" t="str">
        <f>TEXT(calls[[#This Row],[Date of Call]],"DDDD")</f>
        <v>Wednesday</v>
      </c>
    </row>
    <row r="68" spans="2:10" x14ac:dyDescent="0.25">
      <c r="B68" s="8" t="s">
        <v>90</v>
      </c>
      <c r="C68" s="2" t="s">
        <v>17</v>
      </c>
      <c r="D68" s="2">
        <v>147</v>
      </c>
      <c r="E68" s="3" t="s">
        <v>13</v>
      </c>
      <c r="F68" s="6">
        <v>44951</v>
      </c>
      <c r="G68" s="2">
        <v>105</v>
      </c>
      <c r="H68" s="9">
        <v>4.4000000000000004</v>
      </c>
      <c r="I68">
        <f>ROUND(calls[[#This Row],[Satisfaction Rating]],0)</f>
        <v>4</v>
      </c>
      <c r="J68" t="str">
        <f>TEXT(calls[[#This Row],[Date of Call]],"DDDD")</f>
        <v>Wednesday</v>
      </c>
    </row>
    <row r="69" spans="2:10" x14ac:dyDescent="0.25">
      <c r="B69" s="8" t="s">
        <v>91</v>
      </c>
      <c r="C69" s="2" t="s">
        <v>12</v>
      </c>
      <c r="D69" s="2">
        <v>69</v>
      </c>
      <c r="E69" s="3" t="s">
        <v>9</v>
      </c>
      <c r="F69" s="6">
        <v>44952</v>
      </c>
      <c r="G69" s="2">
        <v>40</v>
      </c>
      <c r="H69" s="9">
        <v>3.8</v>
      </c>
      <c r="I69">
        <f>ROUND(calls[[#This Row],[Satisfaction Rating]],0)</f>
        <v>4</v>
      </c>
      <c r="J69" t="str">
        <f>TEXT(calls[[#This Row],[Date of Call]],"DDDD")</f>
        <v>Thursday</v>
      </c>
    </row>
    <row r="70" spans="2:10" x14ac:dyDescent="0.25">
      <c r="B70" s="8" t="s">
        <v>92</v>
      </c>
      <c r="C70" s="2" t="s">
        <v>19</v>
      </c>
      <c r="D70" s="2">
        <v>50</v>
      </c>
      <c r="E70" s="3" t="s">
        <v>10</v>
      </c>
      <c r="F70" s="6">
        <v>44952</v>
      </c>
      <c r="G70" s="2">
        <v>60</v>
      </c>
      <c r="H70" s="9">
        <v>2</v>
      </c>
      <c r="I70">
        <f>ROUND(calls[[#This Row],[Satisfaction Rating]],0)</f>
        <v>2</v>
      </c>
      <c r="J70" t="str">
        <f>TEXT(calls[[#This Row],[Date of Call]],"DDDD")</f>
        <v>Thursday</v>
      </c>
    </row>
    <row r="71" spans="2:10" x14ac:dyDescent="0.25">
      <c r="B71" s="8" t="s">
        <v>93</v>
      </c>
      <c r="C71" s="2" t="s">
        <v>18</v>
      </c>
      <c r="D71" s="2">
        <v>124</v>
      </c>
      <c r="E71" s="3" t="s">
        <v>13</v>
      </c>
      <c r="F71" s="6">
        <v>44953</v>
      </c>
      <c r="G71" s="2">
        <v>215</v>
      </c>
      <c r="H71" s="9">
        <v>4.0999999999999996</v>
      </c>
      <c r="I71">
        <f>ROUND(calls[[#This Row],[Satisfaction Rating]],0)</f>
        <v>4</v>
      </c>
      <c r="J71" t="str">
        <f>TEXT(calls[[#This Row],[Date of Call]],"DDDD")</f>
        <v>Friday</v>
      </c>
    </row>
    <row r="72" spans="2:10" x14ac:dyDescent="0.25">
      <c r="B72" s="8" t="s">
        <v>94</v>
      </c>
      <c r="C72" s="2" t="s">
        <v>23</v>
      </c>
      <c r="D72" s="2">
        <v>81</v>
      </c>
      <c r="E72" s="3" t="s">
        <v>11</v>
      </c>
      <c r="F72" s="6">
        <v>44953</v>
      </c>
      <c r="G72" s="2">
        <v>156</v>
      </c>
      <c r="H72" s="9">
        <v>2.6</v>
      </c>
      <c r="I72">
        <f>ROUND(calls[[#This Row],[Satisfaction Rating]],0)</f>
        <v>3</v>
      </c>
      <c r="J72" t="str">
        <f>TEXT(calls[[#This Row],[Date of Call]],"DDDD")</f>
        <v>Friday</v>
      </c>
    </row>
    <row r="73" spans="2:10" x14ac:dyDescent="0.25">
      <c r="B73" s="8" t="s">
        <v>95</v>
      </c>
      <c r="C73" s="2" t="s">
        <v>7</v>
      </c>
      <c r="D73" s="2">
        <v>141</v>
      </c>
      <c r="E73" s="3" t="s">
        <v>6</v>
      </c>
      <c r="F73" s="6">
        <v>44953</v>
      </c>
      <c r="G73" s="2">
        <v>54</v>
      </c>
      <c r="H73" s="9">
        <v>0</v>
      </c>
      <c r="I73">
        <f>ROUND(calls[[#This Row],[Satisfaction Rating]],0)</f>
        <v>0</v>
      </c>
      <c r="J73" t="str">
        <f>TEXT(calls[[#This Row],[Date of Call]],"DDDD")</f>
        <v>Friday</v>
      </c>
    </row>
    <row r="74" spans="2:10" x14ac:dyDescent="0.25">
      <c r="B74" s="8" t="s">
        <v>96</v>
      </c>
      <c r="C74" s="2" t="s">
        <v>7</v>
      </c>
      <c r="D74" s="2">
        <v>168</v>
      </c>
      <c r="E74" s="3" t="s">
        <v>6</v>
      </c>
      <c r="F74" s="6">
        <v>44954</v>
      </c>
      <c r="G74" s="2">
        <v>160</v>
      </c>
      <c r="H74" s="9">
        <v>3.9</v>
      </c>
      <c r="I74">
        <f>ROUND(calls[[#This Row],[Satisfaction Rating]],0)</f>
        <v>4</v>
      </c>
      <c r="J74" t="str">
        <f>TEXT(calls[[#This Row],[Date of Call]],"DDDD")</f>
        <v>Saturday</v>
      </c>
    </row>
    <row r="75" spans="2:10" x14ac:dyDescent="0.25">
      <c r="B75" s="8" t="s">
        <v>97</v>
      </c>
      <c r="C75" s="2" t="s">
        <v>17</v>
      </c>
      <c r="D75" s="2">
        <v>101</v>
      </c>
      <c r="E75" s="3" t="s">
        <v>11</v>
      </c>
      <c r="F75" s="6">
        <v>44954</v>
      </c>
      <c r="G75" s="2">
        <v>80</v>
      </c>
      <c r="H75" s="9">
        <v>4.8</v>
      </c>
      <c r="I75">
        <f>ROUND(calls[[#This Row],[Satisfaction Rating]],0)</f>
        <v>5</v>
      </c>
      <c r="J75" t="str">
        <f>TEXT(calls[[#This Row],[Date of Call]],"DDDD")</f>
        <v>Saturday</v>
      </c>
    </row>
    <row r="76" spans="2:10" x14ac:dyDescent="0.25">
      <c r="B76" s="8" t="s">
        <v>98</v>
      </c>
      <c r="C76" s="2" t="s">
        <v>14</v>
      </c>
      <c r="D76" s="2">
        <v>67</v>
      </c>
      <c r="E76" s="3" t="s">
        <v>11</v>
      </c>
      <c r="F76" s="6">
        <v>44954</v>
      </c>
      <c r="G76" s="2">
        <v>168</v>
      </c>
      <c r="H76" s="9">
        <v>2.6</v>
      </c>
      <c r="I76">
        <f>ROUND(calls[[#This Row],[Satisfaction Rating]],0)</f>
        <v>3</v>
      </c>
      <c r="J76" t="str">
        <f>TEXT(calls[[#This Row],[Date of Call]],"DDDD")</f>
        <v>Saturday</v>
      </c>
    </row>
    <row r="77" spans="2:10" x14ac:dyDescent="0.25">
      <c r="B77" s="8" t="s">
        <v>99</v>
      </c>
      <c r="C77" s="2" t="s">
        <v>5</v>
      </c>
      <c r="D77" s="2">
        <v>114</v>
      </c>
      <c r="E77" s="3" t="s">
        <v>6</v>
      </c>
      <c r="F77" s="6">
        <v>44956</v>
      </c>
      <c r="G77" s="2">
        <v>42</v>
      </c>
      <c r="H77" s="9">
        <v>2.6</v>
      </c>
      <c r="I77">
        <f>ROUND(calls[[#This Row],[Satisfaction Rating]],0)</f>
        <v>3</v>
      </c>
      <c r="J77" t="str">
        <f>TEXT(calls[[#This Row],[Date of Call]],"DDDD")</f>
        <v>Monday</v>
      </c>
    </row>
    <row r="78" spans="2:10" x14ac:dyDescent="0.25">
      <c r="B78" s="8" t="s">
        <v>100</v>
      </c>
      <c r="C78" s="2" t="s">
        <v>23</v>
      </c>
      <c r="D78" s="2">
        <v>42</v>
      </c>
      <c r="E78" s="3" t="s">
        <v>11</v>
      </c>
      <c r="F78" s="6">
        <v>44956</v>
      </c>
      <c r="G78" s="2">
        <v>205</v>
      </c>
      <c r="H78" s="9">
        <v>3.6</v>
      </c>
      <c r="I78">
        <f>ROUND(calls[[#This Row],[Satisfaction Rating]],0)</f>
        <v>4</v>
      </c>
      <c r="J78" t="str">
        <f>TEXT(calls[[#This Row],[Date of Call]],"DDDD")</f>
        <v>Monday</v>
      </c>
    </row>
    <row r="79" spans="2:10" x14ac:dyDescent="0.25">
      <c r="B79" s="8" t="s">
        <v>101</v>
      </c>
      <c r="C79" s="2" t="s">
        <v>8</v>
      </c>
      <c r="D79" s="2">
        <v>69</v>
      </c>
      <c r="E79" s="3" t="s">
        <v>6</v>
      </c>
      <c r="F79" s="6">
        <v>44956</v>
      </c>
      <c r="G79" s="2">
        <v>108</v>
      </c>
      <c r="H79" s="9">
        <v>3.3</v>
      </c>
      <c r="I79">
        <f>ROUND(calls[[#This Row],[Satisfaction Rating]],0)</f>
        <v>3</v>
      </c>
      <c r="J79" t="str">
        <f>TEXT(calls[[#This Row],[Date of Call]],"DDDD")</f>
        <v>Monday</v>
      </c>
    </row>
    <row r="80" spans="2:10" x14ac:dyDescent="0.25">
      <c r="B80" s="8" t="s">
        <v>102</v>
      </c>
      <c r="C80" s="2" t="s">
        <v>18</v>
      </c>
      <c r="D80" s="2">
        <v>145</v>
      </c>
      <c r="E80" s="3" t="s">
        <v>9</v>
      </c>
      <c r="F80" s="6">
        <v>44956</v>
      </c>
      <c r="G80" s="2">
        <v>78</v>
      </c>
      <c r="H80" s="9">
        <v>1.9</v>
      </c>
      <c r="I80">
        <f>ROUND(calls[[#This Row],[Satisfaction Rating]],0)</f>
        <v>2</v>
      </c>
      <c r="J80" t="str">
        <f>TEXT(calls[[#This Row],[Date of Call]],"DDDD")</f>
        <v>Monday</v>
      </c>
    </row>
    <row r="81" spans="2:10" x14ac:dyDescent="0.25">
      <c r="B81" s="8" t="s">
        <v>103</v>
      </c>
      <c r="C81" s="2" t="s">
        <v>12</v>
      </c>
      <c r="D81" s="2">
        <v>43</v>
      </c>
      <c r="E81" s="3" t="s">
        <v>6</v>
      </c>
      <c r="F81" s="6">
        <v>44956</v>
      </c>
      <c r="G81" s="2">
        <v>23</v>
      </c>
      <c r="H81" s="9">
        <v>4.9000000000000004</v>
      </c>
      <c r="I81">
        <f>ROUND(calls[[#This Row],[Satisfaction Rating]],0)</f>
        <v>5</v>
      </c>
      <c r="J81" t="str">
        <f>TEXT(calls[[#This Row],[Date of Call]],"DDDD")</f>
        <v>Monday</v>
      </c>
    </row>
    <row r="82" spans="2:10" x14ac:dyDescent="0.25">
      <c r="B82" s="8" t="s">
        <v>104</v>
      </c>
      <c r="C82" s="2" t="s">
        <v>8</v>
      </c>
      <c r="D82" s="2">
        <v>62</v>
      </c>
      <c r="E82" s="3" t="s">
        <v>10</v>
      </c>
      <c r="F82" s="6">
        <v>44957</v>
      </c>
      <c r="G82" s="2">
        <v>99</v>
      </c>
      <c r="H82" s="9">
        <v>3.6</v>
      </c>
      <c r="I82">
        <f>ROUND(calls[[#This Row],[Satisfaction Rating]],0)</f>
        <v>4</v>
      </c>
      <c r="J82" t="str">
        <f>TEXT(calls[[#This Row],[Date of Call]],"DDDD")</f>
        <v>Tuesday</v>
      </c>
    </row>
    <row r="83" spans="2:10" x14ac:dyDescent="0.25">
      <c r="B83" s="8" t="s">
        <v>105</v>
      </c>
      <c r="C83" s="2" t="s">
        <v>22</v>
      </c>
      <c r="D83" s="2">
        <v>79</v>
      </c>
      <c r="E83" s="3" t="s">
        <v>6</v>
      </c>
      <c r="F83" s="6">
        <v>44958</v>
      </c>
      <c r="G83" s="2">
        <v>148</v>
      </c>
      <c r="H83" s="9">
        <v>4.5</v>
      </c>
      <c r="I83">
        <f>ROUND(calls[[#This Row],[Satisfaction Rating]],0)</f>
        <v>5</v>
      </c>
      <c r="J83" t="str">
        <f>TEXT(calls[[#This Row],[Date of Call]],"DDDD")</f>
        <v>Wednesday</v>
      </c>
    </row>
    <row r="84" spans="2:10" x14ac:dyDescent="0.25">
      <c r="B84" s="8" t="s">
        <v>106</v>
      </c>
      <c r="C84" s="2" t="s">
        <v>18</v>
      </c>
      <c r="D84" s="2">
        <v>45</v>
      </c>
      <c r="E84" s="3" t="s">
        <v>13</v>
      </c>
      <c r="F84" s="6">
        <v>44958</v>
      </c>
      <c r="G84" s="2">
        <v>34</v>
      </c>
      <c r="H84" s="9">
        <v>3.7</v>
      </c>
      <c r="I84">
        <f>ROUND(calls[[#This Row],[Satisfaction Rating]],0)</f>
        <v>4</v>
      </c>
      <c r="J84" t="str">
        <f>TEXT(calls[[#This Row],[Date of Call]],"DDDD")</f>
        <v>Wednesday</v>
      </c>
    </row>
    <row r="85" spans="2:10" x14ac:dyDescent="0.25">
      <c r="B85" s="8" t="s">
        <v>107</v>
      </c>
      <c r="C85" s="2" t="s">
        <v>8</v>
      </c>
      <c r="D85" s="2">
        <v>137</v>
      </c>
      <c r="E85" s="3" t="s">
        <v>6</v>
      </c>
      <c r="F85" s="6">
        <v>44958</v>
      </c>
      <c r="G85" s="2">
        <v>86</v>
      </c>
      <c r="H85" s="9">
        <v>4.8</v>
      </c>
      <c r="I85">
        <f>ROUND(calls[[#This Row],[Satisfaction Rating]],0)</f>
        <v>5</v>
      </c>
      <c r="J85" t="str">
        <f>TEXT(calls[[#This Row],[Date of Call]],"DDDD")</f>
        <v>Wednesday</v>
      </c>
    </row>
    <row r="86" spans="2:10" x14ac:dyDescent="0.25">
      <c r="B86" s="8" t="s">
        <v>108</v>
      </c>
      <c r="C86" s="2" t="s">
        <v>5</v>
      </c>
      <c r="D86" s="2">
        <v>109</v>
      </c>
      <c r="E86" s="3" t="s">
        <v>10</v>
      </c>
      <c r="F86" s="6">
        <v>44958</v>
      </c>
      <c r="G86" s="2">
        <v>105</v>
      </c>
      <c r="H86" s="9">
        <v>3.3</v>
      </c>
      <c r="I86">
        <f>ROUND(calls[[#This Row],[Satisfaction Rating]],0)</f>
        <v>3</v>
      </c>
      <c r="J86" t="str">
        <f>TEXT(calls[[#This Row],[Date of Call]],"DDDD")</f>
        <v>Wednesday</v>
      </c>
    </row>
    <row r="87" spans="2:10" x14ac:dyDescent="0.25">
      <c r="B87" s="8" t="s">
        <v>109</v>
      </c>
      <c r="C87" s="2" t="s">
        <v>12</v>
      </c>
      <c r="D87" s="2">
        <v>78</v>
      </c>
      <c r="E87" s="3" t="s">
        <v>10</v>
      </c>
      <c r="F87" s="6">
        <v>44958</v>
      </c>
      <c r="G87" s="2">
        <v>62</v>
      </c>
      <c r="H87" s="9">
        <v>3.1</v>
      </c>
      <c r="I87">
        <f>ROUND(calls[[#This Row],[Satisfaction Rating]],0)</f>
        <v>3</v>
      </c>
      <c r="J87" t="str">
        <f>TEXT(calls[[#This Row],[Date of Call]],"DDDD")</f>
        <v>Wednesday</v>
      </c>
    </row>
    <row r="88" spans="2:10" x14ac:dyDescent="0.25">
      <c r="B88" s="8" t="s">
        <v>110</v>
      </c>
      <c r="C88" s="2" t="s">
        <v>8</v>
      </c>
      <c r="D88" s="2">
        <v>137</v>
      </c>
      <c r="E88" s="3" t="s">
        <v>13</v>
      </c>
      <c r="F88" s="6">
        <v>44958</v>
      </c>
      <c r="G88" s="2">
        <v>90</v>
      </c>
      <c r="H88" s="9">
        <v>4.0999999999999996</v>
      </c>
      <c r="I88">
        <f>ROUND(calls[[#This Row],[Satisfaction Rating]],0)</f>
        <v>4</v>
      </c>
      <c r="J88" t="str">
        <f>TEXT(calls[[#This Row],[Date of Call]],"DDDD")</f>
        <v>Wednesday</v>
      </c>
    </row>
    <row r="89" spans="2:10" x14ac:dyDescent="0.25">
      <c r="B89" s="8" t="s">
        <v>111</v>
      </c>
      <c r="C89" s="2" t="s">
        <v>21</v>
      </c>
      <c r="D89" s="2">
        <v>99</v>
      </c>
      <c r="E89" s="3" t="s">
        <v>10</v>
      </c>
      <c r="F89" s="6">
        <v>44959</v>
      </c>
      <c r="G89" s="2">
        <v>112</v>
      </c>
      <c r="H89" s="9">
        <v>4.9000000000000004</v>
      </c>
      <c r="I89">
        <f>ROUND(calls[[#This Row],[Satisfaction Rating]],0)</f>
        <v>5</v>
      </c>
      <c r="J89" t="str">
        <f>TEXT(calls[[#This Row],[Date of Call]],"DDDD")</f>
        <v>Thursday</v>
      </c>
    </row>
    <row r="90" spans="2:10" x14ac:dyDescent="0.25">
      <c r="B90" s="8" t="s">
        <v>112</v>
      </c>
      <c r="C90" s="2" t="s">
        <v>19</v>
      </c>
      <c r="D90" s="2">
        <v>100</v>
      </c>
      <c r="E90" s="3" t="s">
        <v>10</v>
      </c>
      <c r="F90" s="6">
        <v>44959</v>
      </c>
      <c r="G90" s="2">
        <v>135</v>
      </c>
      <c r="H90" s="9">
        <v>4</v>
      </c>
      <c r="I90">
        <f>ROUND(calls[[#This Row],[Satisfaction Rating]],0)</f>
        <v>4</v>
      </c>
      <c r="J90" t="str">
        <f>TEXT(calls[[#This Row],[Date of Call]],"DDDD")</f>
        <v>Thursday</v>
      </c>
    </row>
    <row r="91" spans="2:10" x14ac:dyDescent="0.25">
      <c r="B91" s="8" t="s">
        <v>113</v>
      </c>
      <c r="C91" s="2" t="s">
        <v>12</v>
      </c>
      <c r="D91" s="2">
        <v>47</v>
      </c>
      <c r="E91" s="3" t="s">
        <v>9</v>
      </c>
      <c r="F91" s="6">
        <v>44959</v>
      </c>
      <c r="G91" s="2">
        <v>34</v>
      </c>
      <c r="H91" s="9">
        <v>2.1</v>
      </c>
      <c r="I91">
        <f>ROUND(calls[[#This Row],[Satisfaction Rating]],0)</f>
        <v>2</v>
      </c>
      <c r="J91" t="str">
        <f>TEXT(calls[[#This Row],[Date of Call]],"DDDD")</f>
        <v>Thursday</v>
      </c>
    </row>
    <row r="92" spans="2:10" x14ac:dyDescent="0.25">
      <c r="B92" s="8" t="s">
        <v>114</v>
      </c>
      <c r="C92" s="2" t="s">
        <v>5</v>
      </c>
      <c r="D92" s="2">
        <v>87</v>
      </c>
      <c r="E92" s="3" t="s">
        <v>11</v>
      </c>
      <c r="F92" s="6">
        <v>44959</v>
      </c>
      <c r="G92" s="2">
        <v>155</v>
      </c>
      <c r="H92" s="9">
        <v>4.5</v>
      </c>
      <c r="I92">
        <f>ROUND(calls[[#This Row],[Satisfaction Rating]],0)</f>
        <v>5</v>
      </c>
      <c r="J92" t="str">
        <f>TEXT(calls[[#This Row],[Date of Call]],"DDDD")</f>
        <v>Thursday</v>
      </c>
    </row>
    <row r="93" spans="2:10" x14ac:dyDescent="0.25">
      <c r="B93" s="8" t="s">
        <v>115</v>
      </c>
      <c r="C93" s="2" t="s">
        <v>21</v>
      </c>
      <c r="D93" s="2">
        <v>143</v>
      </c>
      <c r="E93" s="3" t="s">
        <v>11</v>
      </c>
      <c r="F93" s="6">
        <v>44961</v>
      </c>
      <c r="G93" s="2">
        <v>124</v>
      </c>
      <c r="H93" s="9">
        <v>4.9000000000000004</v>
      </c>
      <c r="I93">
        <f>ROUND(calls[[#This Row],[Satisfaction Rating]],0)</f>
        <v>5</v>
      </c>
      <c r="J93" t="str">
        <f>TEXT(calls[[#This Row],[Date of Call]],"DDDD")</f>
        <v>Saturday</v>
      </c>
    </row>
    <row r="94" spans="2:10" x14ac:dyDescent="0.25">
      <c r="B94" s="8" t="s">
        <v>116</v>
      </c>
      <c r="C94" s="2" t="s">
        <v>19</v>
      </c>
      <c r="D94" s="2">
        <v>84</v>
      </c>
      <c r="E94" s="3" t="s">
        <v>10</v>
      </c>
      <c r="F94" s="6">
        <v>44961</v>
      </c>
      <c r="G94" s="2">
        <v>195</v>
      </c>
      <c r="H94" s="9">
        <v>4.0999999999999996</v>
      </c>
      <c r="I94">
        <f>ROUND(calls[[#This Row],[Satisfaction Rating]],0)</f>
        <v>4</v>
      </c>
      <c r="J94" t="str">
        <f>TEXT(calls[[#This Row],[Date of Call]],"DDDD")</f>
        <v>Saturday</v>
      </c>
    </row>
    <row r="95" spans="2:10" x14ac:dyDescent="0.25">
      <c r="B95" s="8" t="s">
        <v>117</v>
      </c>
      <c r="C95" s="2" t="s">
        <v>17</v>
      </c>
      <c r="D95" s="2">
        <v>55</v>
      </c>
      <c r="E95" s="3" t="s">
        <v>11</v>
      </c>
      <c r="F95" s="6">
        <v>44962</v>
      </c>
      <c r="G95" s="2">
        <v>78</v>
      </c>
      <c r="H95" s="9">
        <v>4.5</v>
      </c>
      <c r="I95">
        <f>ROUND(calls[[#This Row],[Satisfaction Rating]],0)</f>
        <v>5</v>
      </c>
      <c r="J95" t="str">
        <f>TEXT(calls[[#This Row],[Date of Call]],"DDDD")</f>
        <v>Sunday</v>
      </c>
    </row>
    <row r="96" spans="2:10" x14ac:dyDescent="0.25">
      <c r="B96" s="8" t="s">
        <v>118</v>
      </c>
      <c r="C96" s="2" t="s">
        <v>15</v>
      </c>
      <c r="D96" s="2">
        <v>135</v>
      </c>
      <c r="E96" s="3" t="s">
        <v>13</v>
      </c>
      <c r="F96" s="6">
        <v>44964</v>
      </c>
      <c r="G96" s="2">
        <v>35</v>
      </c>
      <c r="H96" s="9">
        <v>4.8</v>
      </c>
      <c r="I96">
        <f>ROUND(calls[[#This Row],[Satisfaction Rating]],0)</f>
        <v>5</v>
      </c>
      <c r="J96" t="str">
        <f>TEXT(calls[[#This Row],[Date of Call]],"DDDD")</f>
        <v>Tuesday</v>
      </c>
    </row>
    <row r="97" spans="2:10" x14ac:dyDescent="0.25">
      <c r="B97" s="8" t="s">
        <v>119</v>
      </c>
      <c r="C97" s="2" t="s">
        <v>16</v>
      </c>
      <c r="D97" s="2">
        <v>152</v>
      </c>
      <c r="E97" s="3" t="s">
        <v>9</v>
      </c>
      <c r="F97" s="6">
        <v>44964</v>
      </c>
      <c r="G97" s="2">
        <v>123</v>
      </c>
      <c r="H97" s="9">
        <v>4.5999999999999996</v>
      </c>
      <c r="I97">
        <f>ROUND(calls[[#This Row],[Satisfaction Rating]],0)</f>
        <v>5</v>
      </c>
      <c r="J97" t="str">
        <f>TEXT(calls[[#This Row],[Date of Call]],"DDDD")</f>
        <v>Tuesday</v>
      </c>
    </row>
    <row r="98" spans="2:10" x14ac:dyDescent="0.25">
      <c r="B98" s="8" t="s">
        <v>120</v>
      </c>
      <c r="C98" s="2" t="s">
        <v>23</v>
      </c>
      <c r="D98" s="2">
        <v>132</v>
      </c>
      <c r="E98" s="3" t="s">
        <v>9</v>
      </c>
      <c r="F98" s="6">
        <v>44964</v>
      </c>
      <c r="G98" s="2">
        <v>43</v>
      </c>
      <c r="H98" s="9">
        <v>4.5999999999999996</v>
      </c>
      <c r="I98">
        <f>ROUND(calls[[#This Row],[Satisfaction Rating]],0)</f>
        <v>5</v>
      </c>
      <c r="J98" t="str">
        <f>TEXT(calls[[#This Row],[Date of Call]],"DDDD")</f>
        <v>Tuesday</v>
      </c>
    </row>
    <row r="99" spans="2:10" x14ac:dyDescent="0.25">
      <c r="B99" s="8" t="s">
        <v>121</v>
      </c>
      <c r="C99" s="2" t="s">
        <v>7</v>
      </c>
      <c r="D99" s="2">
        <v>60</v>
      </c>
      <c r="E99" s="3" t="s">
        <v>10</v>
      </c>
      <c r="F99" s="6">
        <v>44965</v>
      </c>
      <c r="G99" s="2">
        <v>69</v>
      </c>
      <c r="H99" s="9">
        <v>4.3</v>
      </c>
      <c r="I99">
        <f>ROUND(calls[[#This Row],[Satisfaction Rating]],0)</f>
        <v>4</v>
      </c>
      <c r="J99" t="str">
        <f>TEXT(calls[[#This Row],[Date of Call]],"DDDD")</f>
        <v>Wednesday</v>
      </c>
    </row>
    <row r="100" spans="2:10" x14ac:dyDescent="0.25">
      <c r="B100" s="8" t="s">
        <v>122</v>
      </c>
      <c r="C100" s="2" t="s">
        <v>16</v>
      </c>
      <c r="D100" s="2">
        <v>95</v>
      </c>
      <c r="E100" s="3" t="s">
        <v>9</v>
      </c>
      <c r="F100" s="6">
        <v>44965</v>
      </c>
      <c r="G100" s="2">
        <v>130</v>
      </c>
      <c r="H100" s="9">
        <v>5</v>
      </c>
      <c r="I100">
        <f>ROUND(calls[[#This Row],[Satisfaction Rating]],0)</f>
        <v>5</v>
      </c>
      <c r="J100" t="str">
        <f>TEXT(calls[[#This Row],[Date of Call]],"DDDD")</f>
        <v>Wednesday</v>
      </c>
    </row>
    <row r="101" spans="2:10" x14ac:dyDescent="0.25">
      <c r="B101" s="8" t="s">
        <v>123</v>
      </c>
      <c r="C101" s="2" t="s">
        <v>20</v>
      </c>
      <c r="D101" s="2">
        <v>96</v>
      </c>
      <c r="E101" s="3" t="s">
        <v>6</v>
      </c>
      <c r="F101" s="6">
        <v>44965</v>
      </c>
      <c r="G101" s="2">
        <v>120</v>
      </c>
      <c r="H101" s="9">
        <v>4</v>
      </c>
      <c r="I101">
        <f>ROUND(calls[[#This Row],[Satisfaction Rating]],0)</f>
        <v>4</v>
      </c>
      <c r="J101" t="str">
        <f>TEXT(calls[[#This Row],[Date of Call]],"DDDD")</f>
        <v>Wednesday</v>
      </c>
    </row>
    <row r="102" spans="2:10" x14ac:dyDescent="0.25">
      <c r="B102" s="8" t="s">
        <v>124</v>
      </c>
      <c r="C102" s="2" t="s">
        <v>17</v>
      </c>
      <c r="D102" s="2">
        <v>45</v>
      </c>
      <c r="E102" s="3" t="s">
        <v>10</v>
      </c>
      <c r="F102" s="6">
        <v>44966</v>
      </c>
      <c r="G102" s="2">
        <v>84</v>
      </c>
      <c r="H102" s="9">
        <v>4.5999999999999996</v>
      </c>
      <c r="I102">
        <f>ROUND(calls[[#This Row],[Satisfaction Rating]],0)</f>
        <v>5</v>
      </c>
      <c r="J102" t="str">
        <f>TEXT(calls[[#This Row],[Date of Call]],"DDDD")</f>
        <v>Thursday</v>
      </c>
    </row>
    <row r="103" spans="2:10" x14ac:dyDescent="0.25">
      <c r="B103" s="8" t="s">
        <v>125</v>
      </c>
      <c r="C103" s="2" t="s">
        <v>20</v>
      </c>
      <c r="D103" s="2">
        <v>132</v>
      </c>
      <c r="E103" s="3" t="s">
        <v>6</v>
      </c>
      <c r="F103" s="6">
        <v>44967</v>
      </c>
      <c r="G103" s="2">
        <v>112</v>
      </c>
      <c r="H103" s="9">
        <v>4.5</v>
      </c>
      <c r="I103">
        <f>ROUND(calls[[#This Row],[Satisfaction Rating]],0)</f>
        <v>5</v>
      </c>
      <c r="J103" t="str">
        <f>TEXT(calls[[#This Row],[Date of Call]],"DDDD")</f>
        <v>Friday</v>
      </c>
    </row>
    <row r="104" spans="2:10" x14ac:dyDescent="0.25">
      <c r="B104" s="8" t="s">
        <v>126</v>
      </c>
      <c r="C104" s="2" t="s">
        <v>14</v>
      </c>
      <c r="D104" s="2">
        <v>95</v>
      </c>
      <c r="E104" s="3" t="s">
        <v>10</v>
      </c>
      <c r="F104" s="6">
        <v>44967</v>
      </c>
      <c r="G104" s="2">
        <v>66</v>
      </c>
      <c r="H104" s="9">
        <v>4.5999999999999996</v>
      </c>
      <c r="I104">
        <f>ROUND(calls[[#This Row],[Satisfaction Rating]],0)</f>
        <v>5</v>
      </c>
      <c r="J104" t="str">
        <f>TEXT(calls[[#This Row],[Date of Call]],"DDDD")</f>
        <v>Friday</v>
      </c>
    </row>
    <row r="105" spans="2:10" x14ac:dyDescent="0.25">
      <c r="B105" s="8" t="s">
        <v>127</v>
      </c>
      <c r="C105" s="2" t="s">
        <v>16</v>
      </c>
      <c r="D105" s="2">
        <v>131</v>
      </c>
      <c r="E105" s="3" t="s">
        <v>11</v>
      </c>
      <c r="F105" s="6">
        <v>44967</v>
      </c>
      <c r="G105" s="2">
        <v>172</v>
      </c>
      <c r="H105" s="9">
        <v>2.6</v>
      </c>
      <c r="I105">
        <f>ROUND(calls[[#This Row],[Satisfaction Rating]],0)</f>
        <v>3</v>
      </c>
      <c r="J105" t="str">
        <f>TEXT(calls[[#This Row],[Date of Call]],"DDDD")</f>
        <v>Friday</v>
      </c>
    </row>
    <row r="106" spans="2:10" x14ac:dyDescent="0.25">
      <c r="B106" s="8" t="s">
        <v>128</v>
      </c>
      <c r="C106" s="2" t="s">
        <v>22</v>
      </c>
      <c r="D106" s="2">
        <v>67</v>
      </c>
      <c r="E106" s="3" t="s">
        <v>13</v>
      </c>
      <c r="F106" s="6">
        <v>44968</v>
      </c>
      <c r="G106" s="2">
        <v>24</v>
      </c>
      <c r="H106" s="9">
        <v>4.3</v>
      </c>
      <c r="I106">
        <f>ROUND(calls[[#This Row],[Satisfaction Rating]],0)</f>
        <v>4</v>
      </c>
      <c r="J106" t="str">
        <f>TEXT(calls[[#This Row],[Date of Call]],"DDDD")</f>
        <v>Saturday</v>
      </c>
    </row>
    <row r="107" spans="2:10" x14ac:dyDescent="0.25">
      <c r="B107" s="8" t="s">
        <v>129</v>
      </c>
      <c r="C107" s="2" t="s">
        <v>21</v>
      </c>
      <c r="D107" s="2">
        <v>111</v>
      </c>
      <c r="E107" s="3" t="s">
        <v>11</v>
      </c>
      <c r="F107" s="6">
        <v>44969</v>
      </c>
      <c r="G107" s="2">
        <v>43</v>
      </c>
      <c r="H107" s="9">
        <v>3.9</v>
      </c>
      <c r="I107">
        <f>ROUND(calls[[#This Row],[Satisfaction Rating]],0)</f>
        <v>4</v>
      </c>
      <c r="J107" t="str">
        <f>TEXT(calls[[#This Row],[Date of Call]],"DDDD")</f>
        <v>Sunday</v>
      </c>
    </row>
    <row r="108" spans="2:10" x14ac:dyDescent="0.25">
      <c r="B108" s="8" t="s">
        <v>130</v>
      </c>
      <c r="C108" s="2" t="s">
        <v>23</v>
      </c>
      <c r="D108" s="2">
        <v>78</v>
      </c>
      <c r="E108" s="3" t="s">
        <v>9</v>
      </c>
      <c r="F108" s="6">
        <v>44969</v>
      </c>
      <c r="G108" s="2">
        <v>23</v>
      </c>
      <c r="H108" s="9">
        <v>5</v>
      </c>
      <c r="I108">
        <f>ROUND(calls[[#This Row],[Satisfaction Rating]],0)</f>
        <v>5</v>
      </c>
      <c r="J108" t="str">
        <f>TEXT(calls[[#This Row],[Date of Call]],"DDDD")</f>
        <v>Sunday</v>
      </c>
    </row>
    <row r="109" spans="2:10" x14ac:dyDescent="0.25">
      <c r="B109" s="8" t="s">
        <v>131</v>
      </c>
      <c r="C109" s="2" t="s">
        <v>24</v>
      </c>
      <c r="D109" s="2">
        <v>28</v>
      </c>
      <c r="E109" s="3" t="s">
        <v>6</v>
      </c>
      <c r="F109" s="6">
        <v>44969</v>
      </c>
      <c r="G109" s="2">
        <v>74</v>
      </c>
      <c r="H109" s="9">
        <v>3.5</v>
      </c>
      <c r="I109">
        <f>ROUND(calls[[#This Row],[Satisfaction Rating]],0)</f>
        <v>4</v>
      </c>
      <c r="J109" t="str">
        <f>TEXT(calls[[#This Row],[Date of Call]],"DDDD")</f>
        <v>Sunday</v>
      </c>
    </row>
    <row r="110" spans="2:10" x14ac:dyDescent="0.25">
      <c r="B110" s="8" t="s">
        <v>132</v>
      </c>
      <c r="C110" s="2" t="s">
        <v>12</v>
      </c>
      <c r="D110" s="2">
        <v>127</v>
      </c>
      <c r="E110" s="3" t="s">
        <v>13</v>
      </c>
      <c r="F110" s="6">
        <v>44970</v>
      </c>
      <c r="G110" s="2">
        <v>165</v>
      </c>
      <c r="H110" s="9">
        <v>4.7</v>
      </c>
      <c r="I110">
        <f>ROUND(calls[[#This Row],[Satisfaction Rating]],0)</f>
        <v>5</v>
      </c>
      <c r="J110" t="str">
        <f>TEXT(calls[[#This Row],[Date of Call]],"DDDD")</f>
        <v>Monday</v>
      </c>
    </row>
    <row r="111" spans="2:10" x14ac:dyDescent="0.25">
      <c r="B111" s="8" t="s">
        <v>133</v>
      </c>
      <c r="C111" s="2" t="s">
        <v>19</v>
      </c>
      <c r="D111" s="2">
        <v>137</v>
      </c>
      <c r="E111" s="3" t="s">
        <v>11</v>
      </c>
      <c r="F111" s="6">
        <v>44970</v>
      </c>
      <c r="G111" s="2">
        <v>34</v>
      </c>
      <c r="H111" s="9">
        <v>2.9</v>
      </c>
      <c r="I111">
        <f>ROUND(calls[[#This Row],[Satisfaction Rating]],0)</f>
        <v>3</v>
      </c>
      <c r="J111" t="str">
        <f>TEXT(calls[[#This Row],[Date of Call]],"DDDD")</f>
        <v>Monday</v>
      </c>
    </row>
    <row r="112" spans="2:10" x14ac:dyDescent="0.25">
      <c r="B112" s="8" t="s">
        <v>134</v>
      </c>
      <c r="C112" s="2" t="s">
        <v>12</v>
      </c>
      <c r="D112" s="2">
        <v>76</v>
      </c>
      <c r="E112" s="3" t="s">
        <v>6</v>
      </c>
      <c r="F112" s="6">
        <v>44970</v>
      </c>
      <c r="G112" s="2">
        <v>64</v>
      </c>
      <c r="H112" s="9">
        <v>3.4</v>
      </c>
      <c r="I112">
        <f>ROUND(calls[[#This Row],[Satisfaction Rating]],0)</f>
        <v>3</v>
      </c>
      <c r="J112" t="str">
        <f>TEXT(calls[[#This Row],[Date of Call]],"DDDD")</f>
        <v>Monday</v>
      </c>
    </row>
    <row r="113" spans="2:10" x14ac:dyDescent="0.25">
      <c r="B113" s="8" t="s">
        <v>135</v>
      </c>
      <c r="C113" s="2" t="s">
        <v>23</v>
      </c>
      <c r="D113" s="2">
        <v>80</v>
      </c>
      <c r="E113" s="3" t="s">
        <v>13</v>
      </c>
      <c r="F113" s="6">
        <v>44971</v>
      </c>
      <c r="G113" s="2">
        <v>155</v>
      </c>
      <c r="H113" s="9">
        <v>3.2</v>
      </c>
      <c r="I113">
        <f>ROUND(calls[[#This Row],[Satisfaction Rating]],0)</f>
        <v>3</v>
      </c>
      <c r="J113" t="str">
        <f>TEXT(calls[[#This Row],[Date of Call]],"DDDD")</f>
        <v>Tuesday</v>
      </c>
    </row>
    <row r="114" spans="2:10" x14ac:dyDescent="0.25">
      <c r="B114" s="8" t="s">
        <v>136</v>
      </c>
      <c r="C114" s="2" t="s">
        <v>12</v>
      </c>
      <c r="D114" s="2">
        <v>95</v>
      </c>
      <c r="E114" s="3" t="s">
        <v>9</v>
      </c>
      <c r="F114" s="6">
        <v>44972</v>
      </c>
      <c r="G114" s="2">
        <v>120</v>
      </c>
      <c r="H114" s="9">
        <v>4.8</v>
      </c>
      <c r="I114">
        <f>ROUND(calls[[#This Row],[Satisfaction Rating]],0)</f>
        <v>5</v>
      </c>
      <c r="J114" t="str">
        <f>TEXT(calls[[#This Row],[Date of Call]],"DDDD")</f>
        <v>Wednesday</v>
      </c>
    </row>
    <row r="115" spans="2:10" x14ac:dyDescent="0.25">
      <c r="B115" s="8" t="s">
        <v>137</v>
      </c>
      <c r="C115" s="2" t="s">
        <v>7</v>
      </c>
      <c r="D115" s="2">
        <v>30</v>
      </c>
      <c r="E115" s="3" t="s">
        <v>6</v>
      </c>
      <c r="F115" s="6">
        <v>44972</v>
      </c>
      <c r="G115" s="2">
        <v>105</v>
      </c>
      <c r="H115" s="9">
        <v>3.6</v>
      </c>
      <c r="I115">
        <f>ROUND(calls[[#This Row],[Satisfaction Rating]],0)</f>
        <v>4</v>
      </c>
      <c r="J115" t="str">
        <f>TEXT(calls[[#This Row],[Date of Call]],"DDDD")</f>
        <v>Wednesday</v>
      </c>
    </row>
    <row r="116" spans="2:10" x14ac:dyDescent="0.25">
      <c r="B116" s="8" t="s">
        <v>138</v>
      </c>
      <c r="C116" s="2" t="s">
        <v>8</v>
      </c>
      <c r="D116" s="2">
        <v>19</v>
      </c>
      <c r="E116" s="3" t="s">
        <v>11</v>
      </c>
      <c r="F116" s="6">
        <v>44972</v>
      </c>
      <c r="G116" s="2">
        <v>28</v>
      </c>
      <c r="H116" s="9">
        <v>4.9000000000000004</v>
      </c>
      <c r="I116">
        <f>ROUND(calls[[#This Row],[Satisfaction Rating]],0)</f>
        <v>5</v>
      </c>
      <c r="J116" t="str">
        <f>TEXT(calls[[#This Row],[Date of Call]],"DDDD")</f>
        <v>Wednesday</v>
      </c>
    </row>
    <row r="117" spans="2:10" x14ac:dyDescent="0.25">
      <c r="B117" s="8" t="s">
        <v>139</v>
      </c>
      <c r="C117" s="2" t="s">
        <v>18</v>
      </c>
      <c r="D117" s="2">
        <v>38</v>
      </c>
      <c r="E117" s="3" t="s">
        <v>13</v>
      </c>
      <c r="F117" s="6">
        <v>44972</v>
      </c>
      <c r="G117" s="2">
        <v>100</v>
      </c>
      <c r="H117" s="9">
        <v>4.8</v>
      </c>
      <c r="I117">
        <f>ROUND(calls[[#This Row],[Satisfaction Rating]],0)</f>
        <v>5</v>
      </c>
      <c r="J117" t="str">
        <f>TEXT(calls[[#This Row],[Date of Call]],"DDDD")</f>
        <v>Wednesday</v>
      </c>
    </row>
    <row r="118" spans="2:10" x14ac:dyDescent="0.25">
      <c r="B118" s="8" t="s">
        <v>140</v>
      </c>
      <c r="C118" s="2" t="s">
        <v>14</v>
      </c>
      <c r="D118" s="2">
        <v>55</v>
      </c>
      <c r="E118" s="3" t="s">
        <v>11</v>
      </c>
      <c r="F118" s="6">
        <v>44972</v>
      </c>
      <c r="G118" s="2">
        <v>23</v>
      </c>
      <c r="H118" s="9">
        <v>3.6</v>
      </c>
      <c r="I118">
        <f>ROUND(calls[[#This Row],[Satisfaction Rating]],0)</f>
        <v>4</v>
      </c>
      <c r="J118" t="str">
        <f>TEXT(calls[[#This Row],[Date of Call]],"DDDD")</f>
        <v>Wednesday</v>
      </c>
    </row>
    <row r="119" spans="2:10" x14ac:dyDescent="0.25">
      <c r="B119" s="8" t="s">
        <v>141</v>
      </c>
      <c r="C119" s="2" t="s">
        <v>22</v>
      </c>
      <c r="D119" s="2">
        <v>27</v>
      </c>
      <c r="E119" s="3" t="s">
        <v>6</v>
      </c>
      <c r="F119" s="6">
        <v>44973</v>
      </c>
      <c r="G119" s="2">
        <v>70</v>
      </c>
      <c r="H119" s="9">
        <v>3.9</v>
      </c>
      <c r="I119">
        <f>ROUND(calls[[#This Row],[Satisfaction Rating]],0)</f>
        <v>4</v>
      </c>
      <c r="J119" t="str">
        <f>TEXT(calls[[#This Row],[Date of Call]],"DDDD")</f>
        <v>Thursday</v>
      </c>
    </row>
    <row r="120" spans="2:10" x14ac:dyDescent="0.25">
      <c r="B120" s="8" t="s">
        <v>142</v>
      </c>
      <c r="C120" s="2" t="s">
        <v>22</v>
      </c>
      <c r="D120" s="2">
        <v>32</v>
      </c>
      <c r="E120" s="3" t="s">
        <v>6</v>
      </c>
      <c r="F120" s="6">
        <v>44973</v>
      </c>
      <c r="G120" s="2">
        <v>37</v>
      </c>
      <c r="H120" s="9">
        <v>1.9</v>
      </c>
      <c r="I120">
        <f>ROUND(calls[[#This Row],[Satisfaction Rating]],0)</f>
        <v>2</v>
      </c>
      <c r="J120" t="str">
        <f>TEXT(calls[[#This Row],[Date of Call]],"DDDD")</f>
        <v>Thursday</v>
      </c>
    </row>
    <row r="121" spans="2:10" x14ac:dyDescent="0.25">
      <c r="B121" s="8" t="s">
        <v>143</v>
      </c>
      <c r="C121" s="2" t="s">
        <v>24</v>
      </c>
      <c r="D121" s="2">
        <v>116</v>
      </c>
      <c r="E121" s="3" t="s">
        <v>10</v>
      </c>
      <c r="F121" s="6">
        <v>44973</v>
      </c>
      <c r="G121" s="2">
        <v>140</v>
      </c>
      <c r="H121" s="9">
        <v>3.6</v>
      </c>
      <c r="I121">
        <f>ROUND(calls[[#This Row],[Satisfaction Rating]],0)</f>
        <v>4</v>
      </c>
      <c r="J121" t="str">
        <f>TEXT(calls[[#This Row],[Date of Call]],"DDDD")</f>
        <v>Thursday</v>
      </c>
    </row>
    <row r="122" spans="2:10" x14ac:dyDescent="0.25">
      <c r="B122" s="8" t="s">
        <v>144</v>
      </c>
      <c r="C122" s="2" t="s">
        <v>20</v>
      </c>
      <c r="D122" s="2">
        <v>99</v>
      </c>
      <c r="E122" s="3" t="s">
        <v>9</v>
      </c>
      <c r="F122" s="6">
        <v>44973</v>
      </c>
      <c r="G122" s="2">
        <v>78</v>
      </c>
      <c r="H122" s="9">
        <v>4.0999999999999996</v>
      </c>
      <c r="I122">
        <f>ROUND(calls[[#This Row],[Satisfaction Rating]],0)</f>
        <v>4</v>
      </c>
      <c r="J122" t="str">
        <f>TEXT(calls[[#This Row],[Date of Call]],"DDDD")</f>
        <v>Thursday</v>
      </c>
    </row>
    <row r="123" spans="2:10" x14ac:dyDescent="0.25">
      <c r="B123" s="8" t="s">
        <v>145</v>
      </c>
      <c r="C123" s="2" t="s">
        <v>12</v>
      </c>
      <c r="D123" s="2">
        <v>75</v>
      </c>
      <c r="E123" s="3" t="s">
        <v>6</v>
      </c>
      <c r="F123" s="6">
        <v>44974</v>
      </c>
      <c r="G123" s="2">
        <v>21</v>
      </c>
      <c r="H123" s="9">
        <v>4.2</v>
      </c>
      <c r="I123">
        <f>ROUND(calls[[#This Row],[Satisfaction Rating]],0)</f>
        <v>4</v>
      </c>
      <c r="J123" t="str">
        <f>TEXT(calls[[#This Row],[Date of Call]],"DDDD")</f>
        <v>Friday</v>
      </c>
    </row>
    <row r="124" spans="2:10" x14ac:dyDescent="0.25">
      <c r="B124" s="8" t="s">
        <v>146</v>
      </c>
      <c r="C124" s="2" t="s">
        <v>23</v>
      </c>
      <c r="D124" s="2">
        <v>57</v>
      </c>
      <c r="E124" s="3" t="s">
        <v>10</v>
      </c>
      <c r="F124" s="6">
        <v>44974</v>
      </c>
      <c r="G124" s="2">
        <v>88</v>
      </c>
      <c r="H124" s="9">
        <v>4.3</v>
      </c>
      <c r="I124">
        <f>ROUND(calls[[#This Row],[Satisfaction Rating]],0)</f>
        <v>4</v>
      </c>
      <c r="J124" t="str">
        <f>TEXT(calls[[#This Row],[Date of Call]],"DDDD")</f>
        <v>Friday</v>
      </c>
    </row>
    <row r="125" spans="2:10" x14ac:dyDescent="0.25">
      <c r="B125" s="8" t="s">
        <v>147</v>
      </c>
      <c r="C125" s="2" t="s">
        <v>15</v>
      </c>
      <c r="D125" s="2">
        <v>155</v>
      </c>
      <c r="E125" s="3" t="s">
        <v>10</v>
      </c>
      <c r="F125" s="6">
        <v>44975</v>
      </c>
      <c r="G125" s="2">
        <v>180</v>
      </c>
      <c r="H125" s="9">
        <v>2.2000000000000002</v>
      </c>
      <c r="I125">
        <f>ROUND(calls[[#This Row],[Satisfaction Rating]],0)</f>
        <v>2</v>
      </c>
      <c r="J125" t="str">
        <f>TEXT(calls[[#This Row],[Date of Call]],"DDDD")</f>
        <v>Saturday</v>
      </c>
    </row>
    <row r="126" spans="2:10" x14ac:dyDescent="0.25">
      <c r="B126" s="8" t="s">
        <v>148</v>
      </c>
      <c r="C126" s="2" t="s">
        <v>20</v>
      </c>
      <c r="D126" s="2">
        <v>68</v>
      </c>
      <c r="E126" s="3" t="s">
        <v>9</v>
      </c>
      <c r="F126" s="6">
        <v>44975</v>
      </c>
      <c r="G126" s="2">
        <v>22</v>
      </c>
      <c r="H126" s="9">
        <v>3.3</v>
      </c>
      <c r="I126">
        <f>ROUND(calls[[#This Row],[Satisfaction Rating]],0)</f>
        <v>3</v>
      </c>
      <c r="J126" t="str">
        <f>TEXT(calls[[#This Row],[Date of Call]],"DDDD")</f>
        <v>Saturday</v>
      </c>
    </row>
    <row r="127" spans="2:10" x14ac:dyDescent="0.25">
      <c r="B127" s="8" t="s">
        <v>149</v>
      </c>
      <c r="C127" s="2" t="s">
        <v>18</v>
      </c>
      <c r="D127" s="2">
        <v>95</v>
      </c>
      <c r="E127" s="3" t="s">
        <v>9</v>
      </c>
      <c r="F127" s="6">
        <v>44975</v>
      </c>
      <c r="G127" s="2">
        <v>52</v>
      </c>
      <c r="H127" s="9">
        <v>4.8</v>
      </c>
      <c r="I127">
        <f>ROUND(calls[[#This Row],[Satisfaction Rating]],0)</f>
        <v>5</v>
      </c>
      <c r="J127" t="str">
        <f>TEXT(calls[[#This Row],[Date of Call]],"DDDD")</f>
        <v>Saturday</v>
      </c>
    </row>
    <row r="128" spans="2:10" x14ac:dyDescent="0.25">
      <c r="B128" s="8" t="s">
        <v>150</v>
      </c>
      <c r="C128" s="2" t="s">
        <v>19</v>
      </c>
      <c r="D128" s="2">
        <v>65</v>
      </c>
      <c r="E128" s="3" t="s">
        <v>10</v>
      </c>
      <c r="F128" s="6">
        <v>44976</v>
      </c>
      <c r="G128" s="2">
        <v>80</v>
      </c>
      <c r="H128" s="9">
        <v>4</v>
      </c>
      <c r="I128">
        <f>ROUND(calls[[#This Row],[Satisfaction Rating]],0)</f>
        <v>4</v>
      </c>
      <c r="J128" t="str">
        <f>TEXT(calls[[#This Row],[Date of Call]],"DDDD")</f>
        <v>Sunday</v>
      </c>
    </row>
    <row r="129" spans="2:10" x14ac:dyDescent="0.25">
      <c r="B129" s="8" t="s">
        <v>151</v>
      </c>
      <c r="C129" s="2" t="s">
        <v>8</v>
      </c>
      <c r="D129" s="2">
        <v>114</v>
      </c>
      <c r="E129" s="3" t="s">
        <v>11</v>
      </c>
      <c r="F129" s="6">
        <v>44976</v>
      </c>
      <c r="G129" s="2">
        <v>54</v>
      </c>
      <c r="H129" s="9">
        <v>1.1000000000000001</v>
      </c>
      <c r="I129">
        <f>ROUND(calls[[#This Row],[Satisfaction Rating]],0)</f>
        <v>1</v>
      </c>
      <c r="J129" t="str">
        <f>TEXT(calls[[#This Row],[Date of Call]],"DDDD")</f>
        <v>Sunday</v>
      </c>
    </row>
    <row r="130" spans="2:10" x14ac:dyDescent="0.25">
      <c r="B130" s="8" t="s">
        <v>152</v>
      </c>
      <c r="C130" s="2" t="s">
        <v>12</v>
      </c>
      <c r="D130" s="2">
        <v>155</v>
      </c>
      <c r="E130" s="3" t="s">
        <v>11</v>
      </c>
      <c r="F130" s="6">
        <v>44977</v>
      </c>
      <c r="G130" s="2">
        <v>80</v>
      </c>
      <c r="H130" s="9">
        <v>3.9</v>
      </c>
      <c r="I130">
        <f>ROUND(calls[[#This Row],[Satisfaction Rating]],0)</f>
        <v>4</v>
      </c>
      <c r="J130" t="str">
        <f>TEXT(calls[[#This Row],[Date of Call]],"DDDD")</f>
        <v>Monday</v>
      </c>
    </row>
    <row r="131" spans="2:10" x14ac:dyDescent="0.25">
      <c r="B131" s="8" t="s">
        <v>153</v>
      </c>
      <c r="C131" s="2" t="s">
        <v>19</v>
      </c>
      <c r="D131" s="2">
        <v>114</v>
      </c>
      <c r="E131" s="3" t="s">
        <v>10</v>
      </c>
      <c r="F131" s="6">
        <v>44978</v>
      </c>
      <c r="G131" s="2">
        <v>120</v>
      </c>
      <c r="H131" s="9">
        <v>1.8</v>
      </c>
      <c r="I131">
        <f>ROUND(calls[[#This Row],[Satisfaction Rating]],0)</f>
        <v>2</v>
      </c>
      <c r="J131" t="str">
        <f>TEXT(calls[[#This Row],[Date of Call]],"DDDD")</f>
        <v>Tuesday</v>
      </c>
    </row>
    <row r="132" spans="2:10" x14ac:dyDescent="0.25">
      <c r="B132" s="8" t="s">
        <v>154</v>
      </c>
      <c r="C132" s="2" t="s">
        <v>15</v>
      </c>
      <c r="D132" s="2">
        <v>130</v>
      </c>
      <c r="E132" s="3" t="s">
        <v>13</v>
      </c>
      <c r="F132" s="6">
        <v>44978</v>
      </c>
      <c r="G132" s="2">
        <v>150</v>
      </c>
      <c r="H132" s="9">
        <v>1</v>
      </c>
      <c r="I132">
        <f>ROUND(calls[[#This Row],[Satisfaction Rating]],0)</f>
        <v>1</v>
      </c>
      <c r="J132" t="str">
        <f>TEXT(calls[[#This Row],[Date of Call]],"DDDD")</f>
        <v>Tuesday</v>
      </c>
    </row>
    <row r="133" spans="2:10" x14ac:dyDescent="0.25">
      <c r="B133" s="8" t="s">
        <v>155</v>
      </c>
      <c r="C133" s="2" t="s">
        <v>12</v>
      </c>
      <c r="D133" s="2">
        <v>89</v>
      </c>
      <c r="E133" s="3" t="s">
        <v>10</v>
      </c>
      <c r="F133" s="6">
        <v>44978</v>
      </c>
      <c r="G133" s="2">
        <v>90</v>
      </c>
      <c r="H133" s="9">
        <v>4.3</v>
      </c>
      <c r="I133">
        <f>ROUND(calls[[#This Row],[Satisfaction Rating]],0)</f>
        <v>4</v>
      </c>
      <c r="J133" t="str">
        <f>TEXT(calls[[#This Row],[Date of Call]],"DDDD")</f>
        <v>Tuesday</v>
      </c>
    </row>
    <row r="134" spans="2:10" x14ac:dyDescent="0.25">
      <c r="B134" s="8" t="s">
        <v>156</v>
      </c>
      <c r="C134" s="2" t="s">
        <v>17</v>
      </c>
      <c r="D134" s="2">
        <v>61</v>
      </c>
      <c r="E134" s="3" t="s">
        <v>6</v>
      </c>
      <c r="F134" s="6">
        <v>44979</v>
      </c>
      <c r="G134" s="2">
        <v>140</v>
      </c>
      <c r="H134" s="9">
        <v>3.4</v>
      </c>
      <c r="I134">
        <f>ROUND(calls[[#This Row],[Satisfaction Rating]],0)</f>
        <v>3</v>
      </c>
      <c r="J134" t="str">
        <f>TEXT(calls[[#This Row],[Date of Call]],"DDDD")</f>
        <v>Wednesday</v>
      </c>
    </row>
    <row r="135" spans="2:10" x14ac:dyDescent="0.25">
      <c r="B135" s="8" t="s">
        <v>157</v>
      </c>
      <c r="C135" s="2" t="s">
        <v>18</v>
      </c>
      <c r="D135" s="2">
        <v>154</v>
      </c>
      <c r="E135" s="3" t="s">
        <v>11</v>
      </c>
      <c r="F135" s="6">
        <v>44979</v>
      </c>
      <c r="G135" s="2">
        <v>22</v>
      </c>
      <c r="H135" s="9">
        <v>3.4</v>
      </c>
      <c r="I135">
        <f>ROUND(calls[[#This Row],[Satisfaction Rating]],0)</f>
        <v>3</v>
      </c>
      <c r="J135" t="str">
        <f>TEXT(calls[[#This Row],[Date of Call]],"DDDD")</f>
        <v>Wednesday</v>
      </c>
    </row>
    <row r="136" spans="2:10" x14ac:dyDescent="0.25">
      <c r="B136" s="8" t="s">
        <v>158</v>
      </c>
      <c r="C136" s="2" t="s">
        <v>19</v>
      </c>
      <c r="D136" s="2">
        <v>115</v>
      </c>
      <c r="E136" s="3" t="s">
        <v>13</v>
      </c>
      <c r="F136" s="6">
        <v>44980</v>
      </c>
      <c r="G136" s="2">
        <v>150</v>
      </c>
      <c r="H136" s="9">
        <v>4.0999999999999996</v>
      </c>
      <c r="I136">
        <f>ROUND(calls[[#This Row],[Satisfaction Rating]],0)</f>
        <v>4</v>
      </c>
      <c r="J136" t="str">
        <f>TEXT(calls[[#This Row],[Date of Call]],"DDDD")</f>
        <v>Thursday</v>
      </c>
    </row>
    <row r="137" spans="2:10" x14ac:dyDescent="0.25">
      <c r="B137" s="8" t="s">
        <v>159</v>
      </c>
      <c r="C137" s="2" t="s">
        <v>5</v>
      </c>
      <c r="D137" s="2">
        <v>138</v>
      </c>
      <c r="E137" s="3" t="s">
        <v>9</v>
      </c>
      <c r="F137" s="6">
        <v>44981</v>
      </c>
      <c r="G137" s="2">
        <v>35</v>
      </c>
      <c r="H137" s="9">
        <v>4.8</v>
      </c>
      <c r="I137">
        <f>ROUND(calls[[#This Row],[Satisfaction Rating]],0)</f>
        <v>5</v>
      </c>
      <c r="J137" t="str">
        <f>TEXT(calls[[#This Row],[Date of Call]],"DDDD")</f>
        <v>Friday</v>
      </c>
    </row>
    <row r="138" spans="2:10" x14ac:dyDescent="0.25">
      <c r="B138" s="8" t="s">
        <v>160</v>
      </c>
      <c r="C138" s="2" t="s">
        <v>21</v>
      </c>
      <c r="D138" s="2">
        <v>153</v>
      </c>
      <c r="E138" s="3" t="s">
        <v>10</v>
      </c>
      <c r="F138" s="6">
        <v>44981</v>
      </c>
      <c r="G138" s="2">
        <v>200</v>
      </c>
      <c r="H138" s="9">
        <v>2</v>
      </c>
      <c r="I138">
        <f>ROUND(calls[[#This Row],[Satisfaction Rating]],0)</f>
        <v>2</v>
      </c>
      <c r="J138" t="str">
        <f>TEXT(calls[[#This Row],[Date of Call]],"DDDD")</f>
        <v>Friday</v>
      </c>
    </row>
    <row r="139" spans="2:10" x14ac:dyDescent="0.25">
      <c r="B139" s="8" t="s">
        <v>161</v>
      </c>
      <c r="C139" s="2" t="s">
        <v>19</v>
      </c>
      <c r="D139" s="2">
        <v>61</v>
      </c>
      <c r="E139" s="3" t="s">
        <v>6</v>
      </c>
      <c r="F139" s="6">
        <v>44982</v>
      </c>
      <c r="G139" s="2">
        <v>150</v>
      </c>
      <c r="H139" s="9">
        <v>4.5999999999999996</v>
      </c>
      <c r="I139">
        <f>ROUND(calls[[#This Row],[Satisfaction Rating]],0)</f>
        <v>5</v>
      </c>
      <c r="J139" t="str">
        <f>TEXT(calls[[#This Row],[Date of Call]],"DDDD")</f>
        <v>Saturday</v>
      </c>
    </row>
    <row r="140" spans="2:10" x14ac:dyDescent="0.25">
      <c r="B140" s="8" t="s">
        <v>162</v>
      </c>
      <c r="C140" s="2" t="s">
        <v>22</v>
      </c>
      <c r="D140" s="2">
        <v>62</v>
      </c>
      <c r="E140" s="3" t="s">
        <v>10</v>
      </c>
      <c r="F140" s="6">
        <v>44982</v>
      </c>
      <c r="G140" s="2">
        <v>21</v>
      </c>
      <c r="H140" s="9">
        <v>2.6</v>
      </c>
      <c r="I140">
        <f>ROUND(calls[[#This Row],[Satisfaction Rating]],0)</f>
        <v>3</v>
      </c>
      <c r="J140" t="str">
        <f>TEXT(calls[[#This Row],[Date of Call]],"DDDD")</f>
        <v>Saturday</v>
      </c>
    </row>
    <row r="141" spans="2:10" x14ac:dyDescent="0.25">
      <c r="B141" s="8" t="s">
        <v>163</v>
      </c>
      <c r="C141" s="2" t="s">
        <v>17</v>
      </c>
      <c r="D141" s="2">
        <v>151</v>
      </c>
      <c r="E141" s="3" t="s">
        <v>13</v>
      </c>
      <c r="F141" s="6">
        <v>44983</v>
      </c>
      <c r="G141" s="2">
        <v>46</v>
      </c>
      <c r="H141" s="9">
        <v>4.9000000000000004</v>
      </c>
      <c r="I141">
        <f>ROUND(calls[[#This Row],[Satisfaction Rating]],0)</f>
        <v>5</v>
      </c>
      <c r="J141" t="str">
        <f>TEXT(calls[[#This Row],[Date of Call]],"DDDD")</f>
        <v>Sunday</v>
      </c>
    </row>
    <row r="142" spans="2:10" x14ac:dyDescent="0.25">
      <c r="B142" s="8" t="s">
        <v>164</v>
      </c>
      <c r="C142" s="2" t="s">
        <v>16</v>
      </c>
      <c r="D142" s="2">
        <v>102</v>
      </c>
      <c r="E142" s="3" t="s">
        <v>11</v>
      </c>
      <c r="F142" s="6">
        <v>44983</v>
      </c>
      <c r="G142" s="2">
        <v>165</v>
      </c>
      <c r="H142" s="9">
        <v>2.7</v>
      </c>
      <c r="I142">
        <f>ROUND(calls[[#This Row],[Satisfaction Rating]],0)</f>
        <v>3</v>
      </c>
      <c r="J142" t="str">
        <f>TEXT(calls[[#This Row],[Date of Call]],"DDDD")</f>
        <v>Sunday</v>
      </c>
    </row>
    <row r="143" spans="2:10" x14ac:dyDescent="0.25">
      <c r="B143" s="8" t="s">
        <v>165</v>
      </c>
      <c r="C143" s="2" t="s">
        <v>7</v>
      </c>
      <c r="D143" s="2">
        <v>64</v>
      </c>
      <c r="E143" s="3" t="s">
        <v>10</v>
      </c>
      <c r="F143" s="6">
        <v>44983</v>
      </c>
      <c r="G143" s="2">
        <v>84</v>
      </c>
      <c r="H143" s="9">
        <v>4.0999999999999996</v>
      </c>
      <c r="I143">
        <f>ROUND(calls[[#This Row],[Satisfaction Rating]],0)</f>
        <v>4</v>
      </c>
      <c r="J143" t="str">
        <f>TEXT(calls[[#This Row],[Date of Call]],"DDDD")</f>
        <v>Sunday</v>
      </c>
    </row>
    <row r="144" spans="2:10" x14ac:dyDescent="0.25">
      <c r="B144" s="8" t="s">
        <v>166</v>
      </c>
      <c r="C144" s="2" t="s">
        <v>12</v>
      </c>
      <c r="D144" s="2">
        <v>6</v>
      </c>
      <c r="E144" s="3" t="s">
        <v>11</v>
      </c>
      <c r="F144" s="6">
        <v>44984</v>
      </c>
      <c r="G144" s="2">
        <v>102</v>
      </c>
      <c r="H144" s="9">
        <v>4.4000000000000004</v>
      </c>
      <c r="I144">
        <f>ROUND(calls[[#This Row],[Satisfaction Rating]],0)</f>
        <v>4</v>
      </c>
      <c r="J144" t="str">
        <f>TEXT(calls[[#This Row],[Date of Call]],"DDDD")</f>
        <v>Monday</v>
      </c>
    </row>
    <row r="145" spans="2:10" x14ac:dyDescent="0.25">
      <c r="B145" s="8" t="s">
        <v>167</v>
      </c>
      <c r="C145" s="2" t="s">
        <v>7</v>
      </c>
      <c r="D145" s="2">
        <v>129</v>
      </c>
      <c r="E145" s="3" t="s">
        <v>10</v>
      </c>
      <c r="F145" s="6">
        <v>44984</v>
      </c>
      <c r="G145" s="2">
        <v>180</v>
      </c>
      <c r="H145" s="9">
        <v>4.8</v>
      </c>
      <c r="I145">
        <f>ROUND(calls[[#This Row],[Satisfaction Rating]],0)</f>
        <v>5</v>
      </c>
      <c r="J145" t="str">
        <f>TEXT(calls[[#This Row],[Date of Call]],"DDDD")</f>
        <v>Monday</v>
      </c>
    </row>
    <row r="146" spans="2:10" x14ac:dyDescent="0.25">
      <c r="B146" s="8" t="s">
        <v>168</v>
      </c>
      <c r="C146" s="2" t="s">
        <v>22</v>
      </c>
      <c r="D146" s="2">
        <v>42</v>
      </c>
      <c r="E146" s="3" t="s">
        <v>13</v>
      </c>
      <c r="F146" s="6">
        <v>44985</v>
      </c>
      <c r="G146" s="2">
        <v>111</v>
      </c>
      <c r="H146" s="9">
        <v>3</v>
      </c>
      <c r="I146">
        <f>ROUND(calls[[#This Row],[Satisfaction Rating]],0)</f>
        <v>3</v>
      </c>
      <c r="J146" t="str">
        <f>TEXT(calls[[#This Row],[Date of Call]],"DDDD")</f>
        <v>Tuesday</v>
      </c>
    </row>
    <row r="147" spans="2:10" x14ac:dyDescent="0.25">
      <c r="B147" s="8" t="s">
        <v>169</v>
      </c>
      <c r="C147" s="2" t="s">
        <v>22</v>
      </c>
      <c r="D147" s="2">
        <v>71</v>
      </c>
      <c r="E147" s="3" t="s">
        <v>6</v>
      </c>
      <c r="F147" s="6">
        <v>44985</v>
      </c>
      <c r="G147" s="2">
        <v>104</v>
      </c>
      <c r="H147" s="9">
        <v>3.1</v>
      </c>
      <c r="I147">
        <f>ROUND(calls[[#This Row],[Satisfaction Rating]],0)</f>
        <v>3</v>
      </c>
      <c r="J147" t="str">
        <f>TEXT(calls[[#This Row],[Date of Call]],"DDDD")</f>
        <v>Tuesday</v>
      </c>
    </row>
    <row r="148" spans="2:10" x14ac:dyDescent="0.25">
      <c r="B148" s="8" t="s">
        <v>170</v>
      </c>
      <c r="C148" s="2" t="s">
        <v>23</v>
      </c>
      <c r="D148" s="2">
        <v>53</v>
      </c>
      <c r="E148" s="3" t="s">
        <v>11</v>
      </c>
      <c r="F148" s="6">
        <v>44985</v>
      </c>
      <c r="G148" s="2">
        <v>80</v>
      </c>
      <c r="H148" s="9">
        <v>2.6</v>
      </c>
      <c r="I148">
        <f>ROUND(calls[[#This Row],[Satisfaction Rating]],0)</f>
        <v>3</v>
      </c>
      <c r="J148" t="str">
        <f>TEXT(calls[[#This Row],[Date of Call]],"DDDD")</f>
        <v>Tuesday</v>
      </c>
    </row>
    <row r="149" spans="2:10" x14ac:dyDescent="0.25">
      <c r="B149" s="8" t="s">
        <v>171</v>
      </c>
      <c r="C149" s="2" t="s">
        <v>8</v>
      </c>
      <c r="D149" s="2">
        <v>155</v>
      </c>
      <c r="E149" s="3" t="s">
        <v>6</v>
      </c>
      <c r="F149" s="6">
        <v>44986</v>
      </c>
      <c r="G149" s="2">
        <v>132</v>
      </c>
      <c r="H149" s="9">
        <v>4.5999999999999996</v>
      </c>
      <c r="I149">
        <f>ROUND(calls[[#This Row],[Satisfaction Rating]],0)</f>
        <v>5</v>
      </c>
      <c r="J149" t="str">
        <f>TEXT(calls[[#This Row],[Date of Call]],"DDDD")</f>
        <v>Wednesday</v>
      </c>
    </row>
    <row r="150" spans="2:10" x14ac:dyDescent="0.25">
      <c r="B150" s="8" t="s">
        <v>172</v>
      </c>
      <c r="C150" s="2" t="s">
        <v>8</v>
      </c>
      <c r="D150" s="2">
        <v>90</v>
      </c>
      <c r="E150" s="3" t="s">
        <v>13</v>
      </c>
      <c r="F150" s="6">
        <v>44986</v>
      </c>
      <c r="G150" s="2">
        <v>170</v>
      </c>
      <c r="H150" s="9">
        <v>3.7</v>
      </c>
      <c r="I150">
        <f>ROUND(calls[[#This Row],[Satisfaction Rating]],0)</f>
        <v>4</v>
      </c>
      <c r="J150" t="str">
        <f>TEXT(calls[[#This Row],[Date of Call]],"DDDD")</f>
        <v>Wednesday</v>
      </c>
    </row>
    <row r="151" spans="2:10" x14ac:dyDescent="0.25">
      <c r="B151" s="8" t="s">
        <v>173</v>
      </c>
      <c r="C151" s="2" t="s">
        <v>7</v>
      </c>
      <c r="D151" s="2">
        <v>166</v>
      </c>
      <c r="E151" s="3" t="s">
        <v>9</v>
      </c>
      <c r="F151" s="6">
        <v>44986</v>
      </c>
      <c r="G151" s="2">
        <v>36</v>
      </c>
      <c r="H151" s="9">
        <v>3.8</v>
      </c>
      <c r="I151">
        <f>ROUND(calls[[#This Row],[Satisfaction Rating]],0)</f>
        <v>4</v>
      </c>
      <c r="J151" t="str">
        <f>TEXT(calls[[#This Row],[Date of Call]],"DDDD")</f>
        <v>Wednesday</v>
      </c>
    </row>
    <row r="152" spans="2:10" x14ac:dyDescent="0.25">
      <c r="B152" s="8" t="s">
        <v>174</v>
      </c>
      <c r="C152" s="2" t="s">
        <v>24</v>
      </c>
      <c r="D152" s="2">
        <v>89</v>
      </c>
      <c r="E152" s="3" t="s">
        <v>6</v>
      </c>
      <c r="F152" s="6">
        <v>44986</v>
      </c>
      <c r="G152" s="2">
        <v>126</v>
      </c>
      <c r="H152" s="9">
        <v>3.6</v>
      </c>
      <c r="I152">
        <f>ROUND(calls[[#This Row],[Satisfaction Rating]],0)</f>
        <v>4</v>
      </c>
      <c r="J152" t="str">
        <f>TEXT(calls[[#This Row],[Date of Call]],"DDDD")</f>
        <v>Wednesday</v>
      </c>
    </row>
    <row r="153" spans="2:10" x14ac:dyDescent="0.25">
      <c r="B153" s="8" t="s">
        <v>175</v>
      </c>
      <c r="C153" s="2" t="s">
        <v>19</v>
      </c>
      <c r="D153" s="2">
        <v>152</v>
      </c>
      <c r="E153" s="3" t="s">
        <v>11</v>
      </c>
      <c r="F153" s="6">
        <v>44986</v>
      </c>
      <c r="G153" s="2">
        <v>215</v>
      </c>
      <c r="H153" s="9">
        <v>4.4000000000000004</v>
      </c>
      <c r="I153">
        <f>ROUND(calls[[#This Row],[Satisfaction Rating]],0)</f>
        <v>4</v>
      </c>
      <c r="J153" t="str">
        <f>TEXT(calls[[#This Row],[Date of Call]],"DDDD")</f>
        <v>Wednesday</v>
      </c>
    </row>
    <row r="154" spans="2:10" x14ac:dyDescent="0.25">
      <c r="B154" s="8" t="s">
        <v>176</v>
      </c>
      <c r="C154" s="2" t="s">
        <v>24</v>
      </c>
      <c r="D154" s="2">
        <v>137</v>
      </c>
      <c r="E154" s="3" t="s">
        <v>13</v>
      </c>
      <c r="F154" s="6">
        <v>44986</v>
      </c>
      <c r="G154" s="2">
        <v>114</v>
      </c>
      <c r="H154" s="9">
        <v>3.2</v>
      </c>
      <c r="I154">
        <f>ROUND(calls[[#This Row],[Satisfaction Rating]],0)</f>
        <v>3</v>
      </c>
      <c r="J154" t="str">
        <f>TEXT(calls[[#This Row],[Date of Call]],"DDDD")</f>
        <v>Wednesday</v>
      </c>
    </row>
    <row r="155" spans="2:10" x14ac:dyDescent="0.25">
      <c r="B155" s="8" t="s">
        <v>177</v>
      </c>
      <c r="C155" s="2" t="s">
        <v>24</v>
      </c>
      <c r="D155" s="2">
        <v>43</v>
      </c>
      <c r="E155" s="3" t="s">
        <v>13</v>
      </c>
      <c r="F155" s="6">
        <v>44986</v>
      </c>
      <c r="G155" s="2">
        <v>99</v>
      </c>
      <c r="H155" s="9">
        <v>4.7</v>
      </c>
      <c r="I155">
        <f>ROUND(calls[[#This Row],[Satisfaction Rating]],0)</f>
        <v>5</v>
      </c>
      <c r="J155" t="str">
        <f>TEXT(calls[[#This Row],[Date of Call]],"DDDD")</f>
        <v>Wednesday</v>
      </c>
    </row>
    <row r="156" spans="2:10" x14ac:dyDescent="0.25">
      <c r="B156" s="8" t="s">
        <v>178</v>
      </c>
      <c r="C156" s="2" t="s">
        <v>18</v>
      </c>
      <c r="D156" s="2">
        <v>114</v>
      </c>
      <c r="E156" s="3" t="s">
        <v>13</v>
      </c>
      <c r="F156" s="6">
        <v>44987</v>
      </c>
      <c r="G156" s="2">
        <v>23</v>
      </c>
      <c r="H156" s="9">
        <v>4.8</v>
      </c>
      <c r="I156">
        <f>ROUND(calls[[#This Row],[Satisfaction Rating]],0)</f>
        <v>5</v>
      </c>
      <c r="J156" t="str">
        <f>TEXT(calls[[#This Row],[Date of Call]],"DDDD")</f>
        <v>Thursday</v>
      </c>
    </row>
    <row r="157" spans="2:10" x14ac:dyDescent="0.25">
      <c r="B157" s="8" t="s">
        <v>179</v>
      </c>
      <c r="C157" s="2" t="s">
        <v>21</v>
      </c>
      <c r="D157" s="2">
        <v>103</v>
      </c>
      <c r="E157" s="3" t="s">
        <v>6</v>
      </c>
      <c r="F157" s="6">
        <v>44987</v>
      </c>
      <c r="G157" s="2">
        <v>75</v>
      </c>
      <c r="H157" s="9">
        <v>2.7</v>
      </c>
      <c r="I157">
        <f>ROUND(calls[[#This Row],[Satisfaction Rating]],0)</f>
        <v>3</v>
      </c>
      <c r="J157" t="str">
        <f>TEXT(calls[[#This Row],[Date of Call]],"DDDD")</f>
        <v>Thursday</v>
      </c>
    </row>
    <row r="158" spans="2:10" x14ac:dyDescent="0.25">
      <c r="B158" s="8" t="s">
        <v>180</v>
      </c>
      <c r="C158" s="2" t="s">
        <v>24</v>
      </c>
      <c r="D158" s="2">
        <v>98</v>
      </c>
      <c r="E158" s="3" t="s">
        <v>11</v>
      </c>
      <c r="F158" s="6">
        <v>44987</v>
      </c>
      <c r="G158" s="2">
        <v>100</v>
      </c>
      <c r="H158" s="9">
        <v>3.8</v>
      </c>
      <c r="I158">
        <f>ROUND(calls[[#This Row],[Satisfaction Rating]],0)</f>
        <v>4</v>
      </c>
      <c r="J158" t="str">
        <f>TEXT(calls[[#This Row],[Date of Call]],"DDDD")</f>
        <v>Thursday</v>
      </c>
    </row>
    <row r="159" spans="2:10" x14ac:dyDescent="0.25">
      <c r="B159" s="8" t="s">
        <v>181</v>
      </c>
      <c r="C159" s="2" t="s">
        <v>7</v>
      </c>
      <c r="D159" s="2">
        <v>106</v>
      </c>
      <c r="E159" s="3" t="s">
        <v>9</v>
      </c>
      <c r="F159" s="6">
        <v>44987</v>
      </c>
      <c r="G159" s="2">
        <v>108</v>
      </c>
      <c r="H159" s="9">
        <v>4.3</v>
      </c>
      <c r="I159">
        <f>ROUND(calls[[#This Row],[Satisfaction Rating]],0)</f>
        <v>4</v>
      </c>
      <c r="J159" t="str">
        <f>TEXT(calls[[#This Row],[Date of Call]],"DDDD")</f>
        <v>Thursday</v>
      </c>
    </row>
    <row r="160" spans="2:10" x14ac:dyDescent="0.25">
      <c r="B160" s="8" t="s">
        <v>182</v>
      </c>
      <c r="C160" s="2" t="s">
        <v>12</v>
      </c>
      <c r="D160" s="2">
        <v>96</v>
      </c>
      <c r="E160" s="3" t="s">
        <v>9</v>
      </c>
      <c r="F160" s="6">
        <v>44987</v>
      </c>
      <c r="G160" s="2">
        <v>108</v>
      </c>
      <c r="H160" s="9">
        <v>5</v>
      </c>
      <c r="I160">
        <f>ROUND(calls[[#This Row],[Satisfaction Rating]],0)</f>
        <v>5</v>
      </c>
      <c r="J160" t="str">
        <f>TEXT(calls[[#This Row],[Date of Call]],"DDDD")</f>
        <v>Thursday</v>
      </c>
    </row>
    <row r="161" spans="2:10" x14ac:dyDescent="0.25">
      <c r="B161" s="8" t="s">
        <v>183</v>
      </c>
      <c r="C161" s="2" t="s">
        <v>21</v>
      </c>
      <c r="D161" s="2">
        <v>70</v>
      </c>
      <c r="E161" s="3" t="s">
        <v>9</v>
      </c>
      <c r="F161" s="6">
        <v>44987</v>
      </c>
      <c r="G161" s="2">
        <v>28</v>
      </c>
      <c r="H161" s="9">
        <v>4.8</v>
      </c>
      <c r="I161">
        <f>ROUND(calls[[#This Row],[Satisfaction Rating]],0)</f>
        <v>5</v>
      </c>
      <c r="J161" t="str">
        <f>TEXT(calls[[#This Row],[Date of Call]],"DDDD")</f>
        <v>Thursday</v>
      </c>
    </row>
    <row r="162" spans="2:10" x14ac:dyDescent="0.25">
      <c r="B162" s="8" t="s">
        <v>184</v>
      </c>
      <c r="C162" s="2" t="s">
        <v>22</v>
      </c>
      <c r="D162" s="2">
        <v>86</v>
      </c>
      <c r="E162" s="3" t="s">
        <v>10</v>
      </c>
      <c r="F162" s="6">
        <v>44988</v>
      </c>
      <c r="G162" s="2">
        <v>70</v>
      </c>
      <c r="H162" s="9">
        <v>4.9000000000000004</v>
      </c>
      <c r="I162">
        <f>ROUND(calls[[#This Row],[Satisfaction Rating]],0)</f>
        <v>5</v>
      </c>
      <c r="J162" t="str">
        <f>TEXT(calls[[#This Row],[Date of Call]],"DDDD")</f>
        <v>Friday</v>
      </c>
    </row>
    <row r="163" spans="2:10" x14ac:dyDescent="0.25">
      <c r="B163" s="8" t="s">
        <v>185</v>
      </c>
      <c r="C163" s="2" t="s">
        <v>23</v>
      </c>
      <c r="D163" s="2">
        <v>64</v>
      </c>
      <c r="E163" s="3" t="s">
        <v>10</v>
      </c>
      <c r="F163" s="6">
        <v>44988</v>
      </c>
      <c r="G163" s="2">
        <v>172</v>
      </c>
      <c r="H163" s="9">
        <v>4.0999999999999996</v>
      </c>
      <c r="I163">
        <f>ROUND(calls[[#This Row],[Satisfaction Rating]],0)</f>
        <v>4</v>
      </c>
      <c r="J163" t="str">
        <f>TEXT(calls[[#This Row],[Date of Call]],"DDDD")</f>
        <v>Friday</v>
      </c>
    </row>
    <row r="164" spans="2:10" x14ac:dyDescent="0.25">
      <c r="B164" s="8" t="s">
        <v>186</v>
      </c>
      <c r="C164" s="2" t="s">
        <v>12</v>
      </c>
      <c r="D164" s="2">
        <v>113</v>
      </c>
      <c r="E164" s="3" t="s">
        <v>11</v>
      </c>
      <c r="F164" s="6">
        <v>44988</v>
      </c>
      <c r="G164" s="2">
        <v>123</v>
      </c>
      <c r="H164" s="9">
        <v>4.4000000000000004</v>
      </c>
      <c r="I164">
        <f>ROUND(calls[[#This Row],[Satisfaction Rating]],0)</f>
        <v>4</v>
      </c>
      <c r="J164" t="str">
        <f>TEXT(calls[[#This Row],[Date of Call]],"DDDD")</f>
        <v>Friday</v>
      </c>
    </row>
    <row r="165" spans="2:10" x14ac:dyDescent="0.25">
      <c r="B165" s="8" t="s">
        <v>187</v>
      </c>
      <c r="C165" s="2" t="s">
        <v>12</v>
      </c>
      <c r="D165" s="2">
        <v>21</v>
      </c>
      <c r="E165" s="3" t="s">
        <v>9</v>
      </c>
      <c r="F165" s="6">
        <v>44988</v>
      </c>
      <c r="G165" s="2">
        <v>93</v>
      </c>
      <c r="H165" s="9">
        <v>3.4</v>
      </c>
      <c r="I165">
        <f>ROUND(calls[[#This Row],[Satisfaction Rating]],0)</f>
        <v>3</v>
      </c>
      <c r="J165" t="str">
        <f>TEXT(calls[[#This Row],[Date of Call]],"DDDD")</f>
        <v>Friday</v>
      </c>
    </row>
    <row r="166" spans="2:10" x14ac:dyDescent="0.25">
      <c r="B166" s="8" t="s">
        <v>188</v>
      </c>
      <c r="C166" s="2" t="s">
        <v>16</v>
      </c>
      <c r="D166" s="2">
        <v>107</v>
      </c>
      <c r="E166" s="3" t="s">
        <v>10</v>
      </c>
      <c r="F166" s="6">
        <v>44988</v>
      </c>
      <c r="G166" s="2">
        <v>66</v>
      </c>
      <c r="H166" s="9">
        <v>4</v>
      </c>
      <c r="I166">
        <f>ROUND(calls[[#This Row],[Satisfaction Rating]],0)</f>
        <v>4</v>
      </c>
      <c r="J166" t="str">
        <f>TEXT(calls[[#This Row],[Date of Call]],"DDDD")</f>
        <v>Friday</v>
      </c>
    </row>
    <row r="167" spans="2:10" x14ac:dyDescent="0.25">
      <c r="B167" s="8" t="s">
        <v>189</v>
      </c>
      <c r="C167" s="2" t="s">
        <v>16</v>
      </c>
      <c r="D167" s="2">
        <v>131</v>
      </c>
      <c r="E167" s="3" t="s">
        <v>9</v>
      </c>
      <c r="F167" s="6">
        <v>44988</v>
      </c>
      <c r="G167" s="2">
        <v>39</v>
      </c>
      <c r="H167" s="9">
        <v>2.4</v>
      </c>
      <c r="I167">
        <f>ROUND(calls[[#This Row],[Satisfaction Rating]],0)</f>
        <v>2</v>
      </c>
      <c r="J167" t="str">
        <f>TEXT(calls[[#This Row],[Date of Call]],"DDDD")</f>
        <v>Friday</v>
      </c>
    </row>
    <row r="168" spans="2:10" x14ac:dyDescent="0.25">
      <c r="B168" s="8" t="s">
        <v>190</v>
      </c>
      <c r="C168" s="2" t="s">
        <v>20</v>
      </c>
      <c r="D168" s="2">
        <v>11</v>
      </c>
      <c r="E168" s="3" t="s">
        <v>6</v>
      </c>
      <c r="F168" s="6">
        <v>44988</v>
      </c>
      <c r="G168" s="2">
        <v>25</v>
      </c>
      <c r="H168" s="9">
        <v>2.1</v>
      </c>
      <c r="I168">
        <f>ROUND(calls[[#This Row],[Satisfaction Rating]],0)</f>
        <v>2</v>
      </c>
      <c r="J168" t="str">
        <f>TEXT(calls[[#This Row],[Date of Call]],"DDDD")</f>
        <v>Friday</v>
      </c>
    </row>
    <row r="169" spans="2:10" x14ac:dyDescent="0.25">
      <c r="B169" s="8" t="s">
        <v>191</v>
      </c>
      <c r="C169" s="2" t="s">
        <v>17</v>
      </c>
      <c r="D169" s="2">
        <v>86</v>
      </c>
      <c r="E169" s="3" t="s">
        <v>11</v>
      </c>
      <c r="F169" s="6">
        <v>44988</v>
      </c>
      <c r="G169" s="2">
        <v>68</v>
      </c>
      <c r="H169" s="9">
        <v>3</v>
      </c>
      <c r="I169">
        <f>ROUND(calls[[#This Row],[Satisfaction Rating]],0)</f>
        <v>3</v>
      </c>
      <c r="J169" t="str">
        <f>TEXT(calls[[#This Row],[Date of Call]],"DDDD")</f>
        <v>Friday</v>
      </c>
    </row>
    <row r="170" spans="2:10" x14ac:dyDescent="0.25">
      <c r="B170" s="8" t="s">
        <v>192</v>
      </c>
      <c r="C170" s="2" t="s">
        <v>23</v>
      </c>
      <c r="D170" s="2">
        <v>28</v>
      </c>
      <c r="E170" s="3" t="s">
        <v>6</v>
      </c>
      <c r="F170" s="6">
        <v>44988</v>
      </c>
      <c r="G170" s="2">
        <v>84</v>
      </c>
      <c r="H170" s="9">
        <v>3.2</v>
      </c>
      <c r="I170">
        <f>ROUND(calls[[#This Row],[Satisfaction Rating]],0)</f>
        <v>3</v>
      </c>
      <c r="J170" t="str">
        <f>TEXT(calls[[#This Row],[Date of Call]],"DDDD")</f>
        <v>Friday</v>
      </c>
    </row>
    <row r="171" spans="2:10" x14ac:dyDescent="0.25">
      <c r="B171" s="8" t="s">
        <v>193</v>
      </c>
      <c r="C171" s="2" t="s">
        <v>8</v>
      </c>
      <c r="D171" s="2">
        <v>139</v>
      </c>
      <c r="E171" s="3" t="s">
        <v>9</v>
      </c>
      <c r="F171" s="6">
        <v>44989</v>
      </c>
      <c r="G171" s="2">
        <v>88</v>
      </c>
      <c r="H171" s="9">
        <v>3.4</v>
      </c>
      <c r="I171">
        <f>ROUND(calls[[#This Row],[Satisfaction Rating]],0)</f>
        <v>3</v>
      </c>
      <c r="J171" t="str">
        <f>TEXT(calls[[#This Row],[Date of Call]],"DDDD")</f>
        <v>Saturday</v>
      </c>
    </row>
    <row r="172" spans="2:10" x14ac:dyDescent="0.25">
      <c r="B172" s="8" t="s">
        <v>194</v>
      </c>
      <c r="C172" s="2" t="s">
        <v>7</v>
      </c>
      <c r="D172" s="2">
        <v>82</v>
      </c>
      <c r="E172" s="3" t="s">
        <v>11</v>
      </c>
      <c r="F172" s="6">
        <v>44989</v>
      </c>
      <c r="G172" s="2">
        <v>93</v>
      </c>
      <c r="H172" s="9">
        <v>2.7</v>
      </c>
      <c r="I172">
        <f>ROUND(calls[[#This Row],[Satisfaction Rating]],0)</f>
        <v>3</v>
      </c>
      <c r="J172" t="str">
        <f>TEXT(calls[[#This Row],[Date of Call]],"DDDD")</f>
        <v>Saturday</v>
      </c>
    </row>
    <row r="173" spans="2:10" x14ac:dyDescent="0.25">
      <c r="B173" s="8" t="s">
        <v>195</v>
      </c>
      <c r="C173" s="2" t="s">
        <v>12</v>
      </c>
      <c r="D173" s="2">
        <v>101</v>
      </c>
      <c r="E173" s="3" t="s">
        <v>6</v>
      </c>
      <c r="F173" s="6">
        <v>44989</v>
      </c>
      <c r="G173" s="2">
        <v>128</v>
      </c>
      <c r="H173" s="9">
        <v>5</v>
      </c>
      <c r="I173">
        <f>ROUND(calls[[#This Row],[Satisfaction Rating]],0)</f>
        <v>5</v>
      </c>
      <c r="J173" t="str">
        <f>TEXT(calls[[#This Row],[Date of Call]],"DDDD")</f>
        <v>Saturday</v>
      </c>
    </row>
    <row r="174" spans="2:10" x14ac:dyDescent="0.25">
      <c r="B174" s="8" t="s">
        <v>196</v>
      </c>
      <c r="C174" s="2" t="s">
        <v>23</v>
      </c>
      <c r="D174" s="2">
        <v>75</v>
      </c>
      <c r="E174" s="3" t="s">
        <v>13</v>
      </c>
      <c r="F174" s="6">
        <v>44989</v>
      </c>
      <c r="G174" s="2">
        <v>40</v>
      </c>
      <c r="H174" s="9">
        <v>3.4</v>
      </c>
      <c r="I174">
        <f>ROUND(calls[[#This Row],[Satisfaction Rating]],0)</f>
        <v>3</v>
      </c>
      <c r="J174" t="str">
        <f>TEXT(calls[[#This Row],[Date of Call]],"DDDD")</f>
        <v>Saturday</v>
      </c>
    </row>
    <row r="175" spans="2:10" x14ac:dyDescent="0.25">
      <c r="B175" s="8" t="s">
        <v>197</v>
      </c>
      <c r="C175" s="2" t="s">
        <v>18</v>
      </c>
      <c r="D175" s="2">
        <v>40</v>
      </c>
      <c r="E175" s="3" t="s">
        <v>6</v>
      </c>
      <c r="F175" s="6">
        <v>44990</v>
      </c>
      <c r="G175" s="2">
        <v>92</v>
      </c>
      <c r="H175" s="9">
        <v>4.7</v>
      </c>
      <c r="I175">
        <f>ROUND(calls[[#This Row],[Satisfaction Rating]],0)</f>
        <v>5</v>
      </c>
      <c r="J175" t="str">
        <f>TEXT(calls[[#This Row],[Date of Call]],"DDDD")</f>
        <v>Sunday</v>
      </c>
    </row>
    <row r="176" spans="2:10" x14ac:dyDescent="0.25">
      <c r="B176" s="8" t="s">
        <v>198</v>
      </c>
      <c r="C176" s="2" t="s">
        <v>24</v>
      </c>
      <c r="D176" s="2">
        <v>86</v>
      </c>
      <c r="E176" s="3" t="s">
        <v>9</v>
      </c>
      <c r="F176" s="6">
        <v>44990</v>
      </c>
      <c r="G176" s="2">
        <v>27</v>
      </c>
      <c r="H176" s="9">
        <v>4.5</v>
      </c>
      <c r="I176">
        <f>ROUND(calls[[#This Row],[Satisfaction Rating]],0)</f>
        <v>5</v>
      </c>
      <c r="J176" t="str">
        <f>TEXT(calls[[#This Row],[Date of Call]],"DDDD")</f>
        <v>Sunday</v>
      </c>
    </row>
    <row r="177" spans="2:10" x14ac:dyDescent="0.25">
      <c r="B177" s="8" t="s">
        <v>199</v>
      </c>
      <c r="C177" s="2" t="s">
        <v>15</v>
      </c>
      <c r="D177" s="2">
        <v>131</v>
      </c>
      <c r="E177" s="3" t="s">
        <v>10</v>
      </c>
      <c r="F177" s="6">
        <v>44990</v>
      </c>
      <c r="G177" s="2">
        <v>140</v>
      </c>
      <c r="H177" s="9">
        <v>4.0999999999999996</v>
      </c>
      <c r="I177">
        <f>ROUND(calls[[#This Row],[Satisfaction Rating]],0)</f>
        <v>4</v>
      </c>
      <c r="J177" t="str">
        <f>TEXT(calls[[#This Row],[Date of Call]],"DDDD")</f>
        <v>Sunday</v>
      </c>
    </row>
    <row r="178" spans="2:10" x14ac:dyDescent="0.25">
      <c r="B178" s="8" t="s">
        <v>200</v>
      </c>
      <c r="C178" s="2" t="s">
        <v>16</v>
      </c>
      <c r="D178" s="2">
        <v>67</v>
      </c>
      <c r="E178" s="3" t="s">
        <v>11</v>
      </c>
      <c r="F178" s="6">
        <v>44990</v>
      </c>
      <c r="G178" s="2">
        <v>40</v>
      </c>
      <c r="H178" s="9">
        <v>5</v>
      </c>
      <c r="I178">
        <f>ROUND(calls[[#This Row],[Satisfaction Rating]],0)</f>
        <v>5</v>
      </c>
      <c r="J178" t="str">
        <f>TEXT(calls[[#This Row],[Date of Call]],"DDDD")</f>
        <v>Sunday</v>
      </c>
    </row>
    <row r="179" spans="2:10" x14ac:dyDescent="0.25">
      <c r="B179" s="8" t="s">
        <v>201</v>
      </c>
      <c r="C179" s="2" t="s">
        <v>5</v>
      </c>
      <c r="D179" s="2">
        <v>71</v>
      </c>
      <c r="E179" s="3" t="s">
        <v>6</v>
      </c>
      <c r="F179" s="6">
        <v>44990</v>
      </c>
      <c r="G179" s="2">
        <v>102</v>
      </c>
      <c r="H179" s="9">
        <v>4.7</v>
      </c>
      <c r="I179">
        <f>ROUND(calls[[#This Row],[Satisfaction Rating]],0)</f>
        <v>5</v>
      </c>
      <c r="J179" t="str">
        <f>TEXT(calls[[#This Row],[Date of Call]],"DDDD")</f>
        <v>Sunday</v>
      </c>
    </row>
    <row r="180" spans="2:10" x14ac:dyDescent="0.25">
      <c r="B180" s="8" t="s">
        <v>202</v>
      </c>
      <c r="C180" s="2" t="s">
        <v>15</v>
      </c>
      <c r="D180" s="2">
        <v>113</v>
      </c>
      <c r="E180" s="3" t="s">
        <v>10</v>
      </c>
      <c r="F180" s="6">
        <v>44990</v>
      </c>
      <c r="G180" s="2">
        <v>42</v>
      </c>
      <c r="H180" s="9">
        <v>4.2</v>
      </c>
      <c r="I180">
        <f>ROUND(calls[[#This Row],[Satisfaction Rating]],0)</f>
        <v>4</v>
      </c>
      <c r="J180" t="str">
        <f>TEXT(calls[[#This Row],[Date of Call]],"DDDD")</f>
        <v>Sunday</v>
      </c>
    </row>
    <row r="181" spans="2:10" x14ac:dyDescent="0.25">
      <c r="B181" s="8" t="s">
        <v>203</v>
      </c>
      <c r="C181" s="2" t="s">
        <v>7</v>
      </c>
      <c r="D181" s="2">
        <v>53</v>
      </c>
      <c r="E181" s="3" t="s">
        <v>9</v>
      </c>
      <c r="F181" s="6">
        <v>44991</v>
      </c>
      <c r="G181" s="2">
        <v>210</v>
      </c>
      <c r="H181" s="9">
        <v>3.9</v>
      </c>
      <c r="I181">
        <f>ROUND(calls[[#This Row],[Satisfaction Rating]],0)</f>
        <v>4</v>
      </c>
      <c r="J181" t="str">
        <f>TEXT(calls[[#This Row],[Date of Call]],"DDDD")</f>
        <v>Monday</v>
      </c>
    </row>
    <row r="182" spans="2:10" x14ac:dyDescent="0.25">
      <c r="B182" s="8" t="s">
        <v>204</v>
      </c>
      <c r="C182" s="2" t="s">
        <v>15</v>
      </c>
      <c r="D182" s="2">
        <v>153</v>
      </c>
      <c r="E182" s="3" t="s">
        <v>11</v>
      </c>
      <c r="F182" s="6">
        <v>44991</v>
      </c>
      <c r="G182" s="2">
        <v>34</v>
      </c>
      <c r="H182" s="9">
        <v>3</v>
      </c>
      <c r="I182">
        <f>ROUND(calls[[#This Row],[Satisfaction Rating]],0)</f>
        <v>3</v>
      </c>
      <c r="J182" t="str">
        <f>TEXT(calls[[#This Row],[Date of Call]],"DDDD")</f>
        <v>Monday</v>
      </c>
    </row>
    <row r="183" spans="2:10" x14ac:dyDescent="0.25">
      <c r="B183" s="8" t="s">
        <v>205</v>
      </c>
      <c r="C183" s="2" t="s">
        <v>16</v>
      </c>
      <c r="D183" s="2">
        <v>73</v>
      </c>
      <c r="E183" s="3" t="s">
        <v>13</v>
      </c>
      <c r="F183" s="6">
        <v>44991</v>
      </c>
      <c r="G183" s="2">
        <v>215</v>
      </c>
      <c r="H183" s="9">
        <v>3.6</v>
      </c>
      <c r="I183">
        <f>ROUND(calls[[#This Row],[Satisfaction Rating]],0)</f>
        <v>4</v>
      </c>
      <c r="J183" t="str">
        <f>TEXT(calls[[#This Row],[Date of Call]],"DDDD")</f>
        <v>Monday</v>
      </c>
    </row>
    <row r="184" spans="2:10" x14ac:dyDescent="0.25">
      <c r="B184" s="8" t="s">
        <v>206</v>
      </c>
      <c r="C184" s="2" t="s">
        <v>22</v>
      </c>
      <c r="D184" s="2">
        <v>62</v>
      </c>
      <c r="E184" s="3" t="s">
        <v>13</v>
      </c>
      <c r="F184" s="6">
        <v>44991</v>
      </c>
      <c r="G184" s="2">
        <v>32</v>
      </c>
      <c r="H184" s="9">
        <v>0.7</v>
      </c>
      <c r="I184">
        <f>ROUND(calls[[#This Row],[Satisfaction Rating]],0)</f>
        <v>1</v>
      </c>
      <c r="J184" t="str">
        <f>TEXT(calls[[#This Row],[Date of Call]],"DDDD")</f>
        <v>Monday</v>
      </c>
    </row>
    <row r="185" spans="2:10" x14ac:dyDescent="0.25">
      <c r="B185" s="8" t="s">
        <v>207</v>
      </c>
      <c r="C185" s="2" t="s">
        <v>8</v>
      </c>
      <c r="D185" s="2">
        <v>115</v>
      </c>
      <c r="E185" s="3" t="s">
        <v>9</v>
      </c>
      <c r="F185" s="6">
        <v>44992</v>
      </c>
      <c r="G185" s="2">
        <v>48</v>
      </c>
      <c r="H185" s="9">
        <v>4.7</v>
      </c>
      <c r="I185">
        <f>ROUND(calls[[#This Row],[Satisfaction Rating]],0)</f>
        <v>5</v>
      </c>
      <c r="J185" t="str">
        <f>TEXT(calls[[#This Row],[Date of Call]],"DDDD")</f>
        <v>Tuesday</v>
      </c>
    </row>
    <row r="186" spans="2:10" x14ac:dyDescent="0.25">
      <c r="B186" s="8" t="s">
        <v>208</v>
      </c>
      <c r="C186" s="2" t="s">
        <v>15</v>
      </c>
      <c r="D186" s="2">
        <v>69</v>
      </c>
      <c r="E186" s="3" t="s">
        <v>9</v>
      </c>
      <c r="F186" s="6">
        <v>44992</v>
      </c>
      <c r="G186" s="2">
        <v>132</v>
      </c>
      <c r="H186" s="9">
        <v>4.5</v>
      </c>
      <c r="I186">
        <f>ROUND(calls[[#This Row],[Satisfaction Rating]],0)</f>
        <v>5</v>
      </c>
      <c r="J186" t="str">
        <f>TEXT(calls[[#This Row],[Date of Call]],"DDDD")</f>
        <v>Tuesday</v>
      </c>
    </row>
    <row r="187" spans="2:10" x14ac:dyDescent="0.25">
      <c r="B187" s="8" t="s">
        <v>209</v>
      </c>
      <c r="C187" s="2" t="s">
        <v>24</v>
      </c>
      <c r="D187" s="2">
        <v>103</v>
      </c>
      <c r="E187" s="3" t="s">
        <v>10</v>
      </c>
      <c r="F187" s="6">
        <v>44992</v>
      </c>
      <c r="G187" s="2">
        <v>172</v>
      </c>
      <c r="H187" s="9">
        <v>4.3</v>
      </c>
      <c r="I187">
        <f>ROUND(calls[[#This Row],[Satisfaction Rating]],0)</f>
        <v>4</v>
      </c>
      <c r="J187" t="str">
        <f>TEXT(calls[[#This Row],[Date of Call]],"DDDD")</f>
        <v>Tuesday</v>
      </c>
    </row>
    <row r="188" spans="2:10" x14ac:dyDescent="0.25">
      <c r="B188" s="8" t="s">
        <v>210</v>
      </c>
      <c r="C188" s="2" t="s">
        <v>24</v>
      </c>
      <c r="D188" s="2">
        <v>75</v>
      </c>
      <c r="E188" s="3" t="s">
        <v>10</v>
      </c>
      <c r="F188" s="6">
        <v>44992</v>
      </c>
      <c r="G188" s="2">
        <v>111</v>
      </c>
      <c r="H188" s="9">
        <v>3.4</v>
      </c>
      <c r="I188">
        <f>ROUND(calls[[#This Row],[Satisfaction Rating]],0)</f>
        <v>3</v>
      </c>
      <c r="J188" t="str">
        <f>TEXT(calls[[#This Row],[Date of Call]],"DDDD")</f>
        <v>Tuesday</v>
      </c>
    </row>
    <row r="189" spans="2:10" x14ac:dyDescent="0.25">
      <c r="B189" s="8" t="s">
        <v>211</v>
      </c>
      <c r="C189" s="2" t="s">
        <v>14</v>
      </c>
      <c r="D189" s="2">
        <v>92</v>
      </c>
      <c r="E189" s="3" t="s">
        <v>10</v>
      </c>
      <c r="F189" s="6">
        <v>44992</v>
      </c>
      <c r="G189" s="2">
        <v>58</v>
      </c>
      <c r="H189" s="9">
        <v>3.6</v>
      </c>
      <c r="I189">
        <f>ROUND(calls[[#This Row],[Satisfaction Rating]],0)</f>
        <v>4</v>
      </c>
      <c r="J189" t="str">
        <f>TEXT(calls[[#This Row],[Date of Call]],"DDDD")</f>
        <v>Tuesday</v>
      </c>
    </row>
    <row r="190" spans="2:10" x14ac:dyDescent="0.25">
      <c r="B190" s="8" t="s">
        <v>212</v>
      </c>
      <c r="C190" s="2" t="s">
        <v>14</v>
      </c>
      <c r="D190" s="2">
        <v>41</v>
      </c>
      <c r="E190" s="3" t="s">
        <v>13</v>
      </c>
      <c r="F190" s="6">
        <v>44992</v>
      </c>
      <c r="G190" s="2">
        <v>68</v>
      </c>
      <c r="H190" s="9">
        <v>4</v>
      </c>
      <c r="I190">
        <f>ROUND(calls[[#This Row],[Satisfaction Rating]],0)</f>
        <v>4</v>
      </c>
      <c r="J190" t="str">
        <f>TEXT(calls[[#This Row],[Date of Call]],"DDDD")</f>
        <v>Tuesday</v>
      </c>
    </row>
    <row r="191" spans="2:10" x14ac:dyDescent="0.25">
      <c r="B191" s="8" t="s">
        <v>213</v>
      </c>
      <c r="C191" s="2" t="s">
        <v>24</v>
      </c>
      <c r="D191" s="2">
        <v>134</v>
      </c>
      <c r="E191" s="3" t="s">
        <v>11</v>
      </c>
      <c r="F191" s="6">
        <v>44992</v>
      </c>
      <c r="G191" s="2">
        <v>160</v>
      </c>
      <c r="H191" s="9">
        <v>4.5</v>
      </c>
      <c r="I191">
        <f>ROUND(calls[[#This Row],[Satisfaction Rating]],0)</f>
        <v>5</v>
      </c>
      <c r="J191" t="str">
        <f>TEXT(calls[[#This Row],[Date of Call]],"DDDD")</f>
        <v>Tuesday</v>
      </c>
    </row>
    <row r="192" spans="2:10" x14ac:dyDescent="0.25">
      <c r="B192" s="8" t="s">
        <v>214</v>
      </c>
      <c r="C192" s="2" t="s">
        <v>17</v>
      </c>
      <c r="D192" s="2">
        <v>80</v>
      </c>
      <c r="E192" s="3" t="s">
        <v>6</v>
      </c>
      <c r="F192" s="6">
        <v>44992</v>
      </c>
      <c r="G192" s="2">
        <v>45</v>
      </c>
      <c r="H192" s="9">
        <v>3</v>
      </c>
      <c r="I192">
        <f>ROUND(calls[[#This Row],[Satisfaction Rating]],0)</f>
        <v>3</v>
      </c>
      <c r="J192" t="str">
        <f>TEXT(calls[[#This Row],[Date of Call]],"DDDD")</f>
        <v>Tuesday</v>
      </c>
    </row>
    <row r="193" spans="2:10" x14ac:dyDescent="0.25">
      <c r="B193" s="8" t="s">
        <v>215</v>
      </c>
      <c r="C193" s="2" t="s">
        <v>5</v>
      </c>
      <c r="D193" s="2">
        <v>103</v>
      </c>
      <c r="E193" s="3" t="s">
        <v>9</v>
      </c>
      <c r="F193" s="6">
        <v>44993</v>
      </c>
      <c r="G193" s="2">
        <v>117</v>
      </c>
      <c r="H193" s="9">
        <v>3</v>
      </c>
      <c r="I193">
        <f>ROUND(calls[[#This Row],[Satisfaction Rating]],0)</f>
        <v>3</v>
      </c>
      <c r="J193" t="str">
        <f>TEXT(calls[[#This Row],[Date of Call]],"DDDD")</f>
        <v>Wednesday</v>
      </c>
    </row>
    <row r="194" spans="2:10" x14ac:dyDescent="0.25">
      <c r="B194" s="8" t="s">
        <v>216</v>
      </c>
      <c r="C194" s="2" t="s">
        <v>7</v>
      </c>
      <c r="D194" s="2">
        <v>20</v>
      </c>
      <c r="E194" s="3" t="s">
        <v>10</v>
      </c>
      <c r="F194" s="6">
        <v>44994</v>
      </c>
      <c r="G194" s="2">
        <v>22</v>
      </c>
      <c r="H194" s="9">
        <v>1.6</v>
      </c>
      <c r="I194">
        <f>ROUND(calls[[#This Row],[Satisfaction Rating]],0)</f>
        <v>2</v>
      </c>
      <c r="J194" t="str">
        <f>TEXT(calls[[#This Row],[Date of Call]],"DDDD")</f>
        <v>Thursday</v>
      </c>
    </row>
    <row r="195" spans="2:10" x14ac:dyDescent="0.25">
      <c r="B195" s="8" t="s">
        <v>217</v>
      </c>
      <c r="C195" s="2" t="s">
        <v>5</v>
      </c>
      <c r="D195" s="2">
        <v>75</v>
      </c>
      <c r="E195" s="3" t="s">
        <v>6</v>
      </c>
      <c r="F195" s="6">
        <v>44994</v>
      </c>
      <c r="G195" s="2">
        <v>195</v>
      </c>
      <c r="H195" s="9">
        <v>3</v>
      </c>
      <c r="I195">
        <f>ROUND(calls[[#This Row],[Satisfaction Rating]],0)</f>
        <v>3</v>
      </c>
      <c r="J195" t="str">
        <f>TEXT(calls[[#This Row],[Date of Call]],"DDDD")</f>
        <v>Thursday</v>
      </c>
    </row>
    <row r="196" spans="2:10" x14ac:dyDescent="0.25">
      <c r="B196" s="8" t="s">
        <v>218</v>
      </c>
      <c r="C196" s="2" t="s">
        <v>14</v>
      </c>
      <c r="D196" s="2">
        <v>80</v>
      </c>
      <c r="E196" s="3" t="s">
        <v>11</v>
      </c>
      <c r="F196" s="6">
        <v>44994</v>
      </c>
      <c r="G196" s="2">
        <v>168</v>
      </c>
      <c r="H196" s="9">
        <v>3.7</v>
      </c>
      <c r="I196">
        <f>ROUND(calls[[#This Row],[Satisfaction Rating]],0)</f>
        <v>4</v>
      </c>
      <c r="J196" t="str">
        <f>TEXT(calls[[#This Row],[Date of Call]],"DDDD")</f>
        <v>Thursday</v>
      </c>
    </row>
    <row r="197" spans="2:10" x14ac:dyDescent="0.25">
      <c r="B197" s="8" t="s">
        <v>219</v>
      </c>
      <c r="C197" s="2" t="s">
        <v>15</v>
      </c>
      <c r="D197" s="2">
        <v>85</v>
      </c>
      <c r="E197" s="3" t="s">
        <v>13</v>
      </c>
      <c r="F197" s="6">
        <v>44995</v>
      </c>
      <c r="G197" s="2">
        <v>46</v>
      </c>
      <c r="H197" s="9">
        <v>4.9000000000000004</v>
      </c>
      <c r="I197">
        <f>ROUND(calls[[#This Row],[Satisfaction Rating]],0)</f>
        <v>5</v>
      </c>
      <c r="J197" t="str">
        <f>TEXT(calls[[#This Row],[Date of Call]],"DDDD")</f>
        <v>Friday</v>
      </c>
    </row>
    <row r="198" spans="2:10" x14ac:dyDescent="0.25">
      <c r="B198" s="8" t="s">
        <v>220</v>
      </c>
      <c r="C198" s="2" t="s">
        <v>12</v>
      </c>
      <c r="D198" s="2">
        <v>155</v>
      </c>
      <c r="E198" s="3" t="s">
        <v>10</v>
      </c>
      <c r="F198" s="6">
        <v>44995</v>
      </c>
      <c r="G198" s="2">
        <v>164</v>
      </c>
      <c r="H198" s="9">
        <v>3.4</v>
      </c>
      <c r="I198">
        <f>ROUND(calls[[#This Row],[Satisfaction Rating]],0)</f>
        <v>3</v>
      </c>
      <c r="J198" t="str">
        <f>TEXT(calls[[#This Row],[Date of Call]],"DDDD")</f>
        <v>Friday</v>
      </c>
    </row>
    <row r="199" spans="2:10" x14ac:dyDescent="0.25">
      <c r="B199" s="8" t="s">
        <v>221</v>
      </c>
      <c r="C199" s="2" t="s">
        <v>15</v>
      </c>
      <c r="D199" s="2">
        <v>63</v>
      </c>
      <c r="E199" s="3" t="s">
        <v>13</v>
      </c>
      <c r="F199" s="6">
        <v>44995</v>
      </c>
      <c r="G199" s="2">
        <v>48</v>
      </c>
      <c r="H199" s="9">
        <v>5</v>
      </c>
      <c r="I199">
        <f>ROUND(calls[[#This Row],[Satisfaction Rating]],0)</f>
        <v>5</v>
      </c>
      <c r="J199" t="str">
        <f>TEXT(calls[[#This Row],[Date of Call]],"DDDD")</f>
        <v>Friday</v>
      </c>
    </row>
    <row r="200" spans="2:10" x14ac:dyDescent="0.25">
      <c r="B200" s="8" t="s">
        <v>222</v>
      </c>
      <c r="C200" s="2" t="s">
        <v>23</v>
      </c>
      <c r="D200" s="2">
        <v>105</v>
      </c>
      <c r="E200" s="3" t="s">
        <v>9</v>
      </c>
      <c r="F200" s="6">
        <v>44995</v>
      </c>
      <c r="G200" s="2">
        <v>96</v>
      </c>
      <c r="H200" s="9">
        <v>5</v>
      </c>
      <c r="I200">
        <f>ROUND(calls[[#This Row],[Satisfaction Rating]],0)</f>
        <v>5</v>
      </c>
      <c r="J200" t="str">
        <f>TEXT(calls[[#This Row],[Date of Call]],"DDDD")</f>
        <v>Friday</v>
      </c>
    </row>
    <row r="201" spans="2:10" x14ac:dyDescent="0.25">
      <c r="B201" s="8" t="s">
        <v>223</v>
      </c>
      <c r="C201" s="2" t="s">
        <v>15</v>
      </c>
      <c r="D201" s="2">
        <v>71</v>
      </c>
      <c r="E201" s="3" t="s">
        <v>13</v>
      </c>
      <c r="F201" s="6">
        <v>44995</v>
      </c>
      <c r="G201" s="2">
        <v>105</v>
      </c>
      <c r="H201" s="9">
        <v>4</v>
      </c>
      <c r="I201">
        <f>ROUND(calls[[#This Row],[Satisfaction Rating]],0)</f>
        <v>4</v>
      </c>
      <c r="J201" t="str">
        <f>TEXT(calls[[#This Row],[Date of Call]],"DDDD")</f>
        <v>Friday</v>
      </c>
    </row>
    <row r="202" spans="2:10" x14ac:dyDescent="0.25">
      <c r="B202" s="8" t="s">
        <v>224</v>
      </c>
      <c r="C202" s="2" t="s">
        <v>12</v>
      </c>
      <c r="D202" s="2">
        <v>100</v>
      </c>
      <c r="E202" s="3" t="s">
        <v>13</v>
      </c>
      <c r="F202" s="6">
        <v>44996</v>
      </c>
      <c r="G202" s="2">
        <v>44</v>
      </c>
      <c r="H202" s="9">
        <v>3.6</v>
      </c>
      <c r="I202">
        <f>ROUND(calls[[#This Row],[Satisfaction Rating]],0)</f>
        <v>4</v>
      </c>
      <c r="J202" t="str">
        <f>TEXT(calls[[#This Row],[Date of Call]],"DDDD")</f>
        <v>Saturday</v>
      </c>
    </row>
    <row r="203" spans="2:10" x14ac:dyDescent="0.25">
      <c r="B203" s="8" t="s">
        <v>225</v>
      </c>
      <c r="C203" s="2" t="s">
        <v>20</v>
      </c>
      <c r="D203" s="2">
        <v>93</v>
      </c>
      <c r="E203" s="3" t="s">
        <v>11</v>
      </c>
      <c r="F203" s="6">
        <v>44996</v>
      </c>
      <c r="G203" s="2">
        <v>132</v>
      </c>
      <c r="H203" s="9">
        <v>3.7</v>
      </c>
      <c r="I203">
        <f>ROUND(calls[[#This Row],[Satisfaction Rating]],0)</f>
        <v>4</v>
      </c>
      <c r="J203" t="str">
        <f>TEXT(calls[[#This Row],[Date of Call]],"DDDD")</f>
        <v>Saturday</v>
      </c>
    </row>
    <row r="204" spans="2:10" x14ac:dyDescent="0.25">
      <c r="B204" s="8" t="s">
        <v>226</v>
      </c>
      <c r="C204" s="2" t="s">
        <v>23</v>
      </c>
      <c r="D204" s="2">
        <v>84</v>
      </c>
      <c r="E204" s="3" t="s">
        <v>10</v>
      </c>
      <c r="F204" s="6">
        <v>44996</v>
      </c>
      <c r="G204" s="2">
        <v>54</v>
      </c>
      <c r="H204" s="9">
        <v>4.2</v>
      </c>
      <c r="I204">
        <f>ROUND(calls[[#This Row],[Satisfaction Rating]],0)</f>
        <v>4</v>
      </c>
      <c r="J204" t="str">
        <f>TEXT(calls[[#This Row],[Date of Call]],"DDDD")</f>
        <v>Saturday</v>
      </c>
    </row>
    <row r="205" spans="2:10" x14ac:dyDescent="0.25">
      <c r="B205" s="8" t="s">
        <v>227</v>
      </c>
      <c r="C205" s="2" t="s">
        <v>17</v>
      </c>
      <c r="D205" s="2">
        <v>56</v>
      </c>
      <c r="E205" s="3" t="s">
        <v>6</v>
      </c>
      <c r="F205" s="6">
        <v>44996</v>
      </c>
      <c r="G205" s="2">
        <v>129</v>
      </c>
      <c r="H205" s="9">
        <v>2.1</v>
      </c>
      <c r="I205">
        <f>ROUND(calls[[#This Row],[Satisfaction Rating]],0)</f>
        <v>2</v>
      </c>
      <c r="J205" t="str">
        <f>TEXT(calls[[#This Row],[Date of Call]],"DDDD")</f>
        <v>Saturday</v>
      </c>
    </row>
    <row r="206" spans="2:10" x14ac:dyDescent="0.25">
      <c r="B206" s="8" t="s">
        <v>228</v>
      </c>
      <c r="C206" s="2" t="s">
        <v>17</v>
      </c>
      <c r="D206" s="2">
        <v>63</v>
      </c>
      <c r="E206" s="3" t="s">
        <v>13</v>
      </c>
      <c r="F206" s="6">
        <v>44996</v>
      </c>
      <c r="G206" s="2">
        <v>42</v>
      </c>
      <c r="H206" s="9">
        <v>4</v>
      </c>
      <c r="I206">
        <f>ROUND(calls[[#This Row],[Satisfaction Rating]],0)</f>
        <v>4</v>
      </c>
      <c r="J206" t="str">
        <f>TEXT(calls[[#This Row],[Date of Call]],"DDDD")</f>
        <v>Saturday</v>
      </c>
    </row>
    <row r="207" spans="2:10" x14ac:dyDescent="0.25">
      <c r="B207" s="8" t="s">
        <v>229</v>
      </c>
      <c r="C207" s="2" t="s">
        <v>22</v>
      </c>
      <c r="D207" s="2">
        <v>83</v>
      </c>
      <c r="E207" s="3" t="s">
        <v>13</v>
      </c>
      <c r="F207" s="6">
        <v>44996</v>
      </c>
      <c r="G207" s="2">
        <v>42</v>
      </c>
      <c r="H207" s="9">
        <v>4.2</v>
      </c>
      <c r="I207">
        <f>ROUND(calls[[#This Row],[Satisfaction Rating]],0)</f>
        <v>4</v>
      </c>
      <c r="J207" t="str">
        <f>TEXT(calls[[#This Row],[Date of Call]],"DDDD")</f>
        <v>Saturday</v>
      </c>
    </row>
    <row r="208" spans="2:10" x14ac:dyDescent="0.25">
      <c r="B208" s="8" t="s">
        <v>230</v>
      </c>
      <c r="C208" s="2" t="s">
        <v>14</v>
      </c>
      <c r="D208" s="2">
        <v>134</v>
      </c>
      <c r="E208" s="3" t="s">
        <v>10</v>
      </c>
      <c r="F208" s="6">
        <v>44996</v>
      </c>
      <c r="G208" s="2">
        <v>180</v>
      </c>
      <c r="H208" s="9">
        <v>3.1</v>
      </c>
      <c r="I208">
        <f>ROUND(calls[[#This Row],[Satisfaction Rating]],0)</f>
        <v>3</v>
      </c>
      <c r="J208" t="str">
        <f>TEXT(calls[[#This Row],[Date of Call]],"DDDD")</f>
        <v>Saturday</v>
      </c>
    </row>
    <row r="209" spans="2:10" x14ac:dyDescent="0.25">
      <c r="B209" s="8" t="s">
        <v>231</v>
      </c>
      <c r="C209" s="2" t="s">
        <v>8</v>
      </c>
      <c r="D209" s="2">
        <v>73</v>
      </c>
      <c r="E209" s="3" t="s">
        <v>13</v>
      </c>
      <c r="F209" s="6">
        <v>44997</v>
      </c>
      <c r="G209" s="2">
        <v>34</v>
      </c>
      <c r="H209" s="9">
        <v>4.8</v>
      </c>
      <c r="I209">
        <f>ROUND(calls[[#This Row],[Satisfaction Rating]],0)</f>
        <v>5</v>
      </c>
      <c r="J209" t="str">
        <f>TEXT(calls[[#This Row],[Date of Call]],"DDDD")</f>
        <v>Sunday</v>
      </c>
    </row>
    <row r="210" spans="2:10" x14ac:dyDescent="0.25">
      <c r="B210" s="8" t="s">
        <v>232</v>
      </c>
      <c r="C210" s="2" t="s">
        <v>5</v>
      </c>
      <c r="D210" s="2">
        <v>6</v>
      </c>
      <c r="E210" s="3" t="s">
        <v>6</v>
      </c>
      <c r="F210" s="6">
        <v>44997</v>
      </c>
      <c r="G210" s="2">
        <v>29</v>
      </c>
      <c r="H210" s="9">
        <v>4.7</v>
      </c>
      <c r="I210">
        <f>ROUND(calls[[#This Row],[Satisfaction Rating]],0)</f>
        <v>5</v>
      </c>
      <c r="J210" t="str">
        <f>TEXT(calls[[#This Row],[Date of Call]],"DDDD")</f>
        <v>Sunday</v>
      </c>
    </row>
    <row r="211" spans="2:10" x14ac:dyDescent="0.25">
      <c r="B211" s="8" t="s">
        <v>233</v>
      </c>
      <c r="C211" s="2" t="s">
        <v>16</v>
      </c>
      <c r="D211" s="2">
        <v>46</v>
      </c>
      <c r="E211" s="3" t="s">
        <v>9</v>
      </c>
      <c r="F211" s="6">
        <v>44997</v>
      </c>
      <c r="G211" s="2">
        <v>165</v>
      </c>
      <c r="H211" s="9">
        <v>3.3</v>
      </c>
      <c r="I211">
        <f>ROUND(calls[[#This Row],[Satisfaction Rating]],0)</f>
        <v>3</v>
      </c>
      <c r="J211" t="str">
        <f>TEXT(calls[[#This Row],[Date of Call]],"DDDD")</f>
        <v>Sunday</v>
      </c>
    </row>
    <row r="212" spans="2:10" x14ac:dyDescent="0.25">
      <c r="B212" s="8" t="s">
        <v>234</v>
      </c>
      <c r="C212" s="2" t="s">
        <v>5</v>
      </c>
      <c r="D212" s="2">
        <v>121</v>
      </c>
      <c r="E212" s="3" t="s">
        <v>13</v>
      </c>
      <c r="F212" s="6">
        <v>44998</v>
      </c>
      <c r="G212" s="2">
        <v>32</v>
      </c>
      <c r="H212" s="9">
        <v>3.7</v>
      </c>
      <c r="I212">
        <f>ROUND(calls[[#This Row],[Satisfaction Rating]],0)</f>
        <v>4</v>
      </c>
      <c r="J212" t="str">
        <f>TEXT(calls[[#This Row],[Date of Call]],"DDDD")</f>
        <v>Monday</v>
      </c>
    </row>
    <row r="213" spans="2:10" x14ac:dyDescent="0.25">
      <c r="B213" s="8" t="s">
        <v>235</v>
      </c>
      <c r="C213" s="2" t="s">
        <v>17</v>
      </c>
      <c r="D213" s="2">
        <v>61</v>
      </c>
      <c r="E213" s="3" t="s">
        <v>11</v>
      </c>
      <c r="F213" s="6">
        <v>44998</v>
      </c>
      <c r="G213" s="2">
        <v>160</v>
      </c>
      <c r="H213" s="9">
        <v>4.9000000000000004</v>
      </c>
      <c r="I213">
        <f>ROUND(calls[[#This Row],[Satisfaction Rating]],0)</f>
        <v>5</v>
      </c>
      <c r="J213" t="str">
        <f>TEXT(calls[[#This Row],[Date of Call]],"DDDD")</f>
        <v>Monday</v>
      </c>
    </row>
    <row r="214" spans="2:10" x14ac:dyDescent="0.25">
      <c r="B214" s="8" t="s">
        <v>236</v>
      </c>
      <c r="C214" s="2" t="s">
        <v>14</v>
      </c>
      <c r="D214" s="2">
        <v>144</v>
      </c>
      <c r="E214" s="3" t="s">
        <v>10</v>
      </c>
      <c r="F214" s="6">
        <v>44998</v>
      </c>
      <c r="G214" s="2">
        <v>140</v>
      </c>
      <c r="H214" s="9">
        <v>3.5</v>
      </c>
      <c r="I214">
        <f>ROUND(calls[[#This Row],[Satisfaction Rating]],0)</f>
        <v>4</v>
      </c>
      <c r="J214" t="str">
        <f>TEXT(calls[[#This Row],[Date of Call]],"DDDD")</f>
        <v>Monday</v>
      </c>
    </row>
    <row r="215" spans="2:10" x14ac:dyDescent="0.25">
      <c r="B215" s="8" t="s">
        <v>237</v>
      </c>
      <c r="C215" s="2" t="s">
        <v>16</v>
      </c>
      <c r="D215" s="2">
        <v>145</v>
      </c>
      <c r="E215" s="3" t="s">
        <v>10</v>
      </c>
      <c r="F215" s="6">
        <v>44998</v>
      </c>
      <c r="G215" s="2">
        <v>136</v>
      </c>
      <c r="H215" s="9">
        <v>4.4000000000000004</v>
      </c>
      <c r="I215">
        <f>ROUND(calls[[#This Row],[Satisfaction Rating]],0)</f>
        <v>4</v>
      </c>
      <c r="J215" t="str">
        <f>TEXT(calls[[#This Row],[Date of Call]],"DDDD")</f>
        <v>Monday</v>
      </c>
    </row>
    <row r="216" spans="2:10" x14ac:dyDescent="0.25">
      <c r="B216" s="8" t="s">
        <v>238</v>
      </c>
      <c r="C216" s="2" t="s">
        <v>23</v>
      </c>
      <c r="D216" s="2">
        <v>85</v>
      </c>
      <c r="E216" s="3" t="s">
        <v>6</v>
      </c>
      <c r="F216" s="6">
        <v>44998</v>
      </c>
      <c r="G216" s="2">
        <v>66</v>
      </c>
      <c r="H216" s="9">
        <v>2.8</v>
      </c>
      <c r="I216">
        <f>ROUND(calls[[#This Row],[Satisfaction Rating]],0)</f>
        <v>3</v>
      </c>
      <c r="J216" t="str">
        <f>TEXT(calls[[#This Row],[Date of Call]],"DDDD")</f>
        <v>Monday</v>
      </c>
    </row>
    <row r="217" spans="2:10" x14ac:dyDescent="0.25">
      <c r="B217" s="8" t="s">
        <v>239</v>
      </c>
      <c r="C217" s="2" t="s">
        <v>16</v>
      </c>
      <c r="D217" s="2">
        <v>13</v>
      </c>
      <c r="E217" s="3" t="s">
        <v>11</v>
      </c>
      <c r="F217" s="6">
        <v>44999</v>
      </c>
      <c r="G217" s="2">
        <v>63</v>
      </c>
      <c r="H217" s="9">
        <v>4.0999999999999996</v>
      </c>
      <c r="I217">
        <f>ROUND(calls[[#This Row],[Satisfaction Rating]],0)</f>
        <v>4</v>
      </c>
      <c r="J217" t="str">
        <f>TEXT(calls[[#This Row],[Date of Call]],"DDDD")</f>
        <v>Tuesday</v>
      </c>
    </row>
    <row r="218" spans="2:10" x14ac:dyDescent="0.25">
      <c r="B218" s="8" t="s">
        <v>240</v>
      </c>
      <c r="C218" s="2" t="s">
        <v>20</v>
      </c>
      <c r="D218" s="2">
        <v>142</v>
      </c>
      <c r="E218" s="3" t="s">
        <v>13</v>
      </c>
      <c r="F218" s="6">
        <v>44999</v>
      </c>
      <c r="G218" s="2">
        <v>44</v>
      </c>
      <c r="H218" s="9">
        <v>3.5</v>
      </c>
      <c r="I218">
        <f>ROUND(calls[[#This Row],[Satisfaction Rating]],0)</f>
        <v>4</v>
      </c>
      <c r="J218" t="str">
        <f>TEXT(calls[[#This Row],[Date of Call]],"DDDD")</f>
        <v>Tuesday</v>
      </c>
    </row>
    <row r="219" spans="2:10" x14ac:dyDescent="0.25">
      <c r="B219" s="8" t="s">
        <v>241</v>
      </c>
      <c r="C219" s="2" t="s">
        <v>14</v>
      </c>
      <c r="D219" s="2">
        <v>28</v>
      </c>
      <c r="E219" s="3" t="s">
        <v>9</v>
      </c>
      <c r="F219" s="6">
        <v>44999</v>
      </c>
      <c r="G219" s="2">
        <v>78</v>
      </c>
      <c r="H219" s="9">
        <v>3.8</v>
      </c>
      <c r="I219">
        <f>ROUND(calls[[#This Row],[Satisfaction Rating]],0)</f>
        <v>4</v>
      </c>
      <c r="J219" t="str">
        <f>TEXT(calls[[#This Row],[Date of Call]],"DDDD")</f>
        <v>Tuesday</v>
      </c>
    </row>
    <row r="220" spans="2:10" x14ac:dyDescent="0.25">
      <c r="B220" s="8" t="s">
        <v>242</v>
      </c>
      <c r="C220" s="2" t="s">
        <v>14</v>
      </c>
      <c r="D220" s="2">
        <v>119</v>
      </c>
      <c r="E220" s="3" t="s">
        <v>13</v>
      </c>
      <c r="F220" s="6">
        <v>44999</v>
      </c>
      <c r="G220" s="2">
        <v>20</v>
      </c>
      <c r="H220" s="9">
        <v>3.9</v>
      </c>
      <c r="I220">
        <f>ROUND(calls[[#This Row],[Satisfaction Rating]],0)</f>
        <v>4</v>
      </c>
      <c r="J220" t="str">
        <f>TEXT(calls[[#This Row],[Date of Call]],"DDDD")</f>
        <v>Tuesday</v>
      </c>
    </row>
    <row r="221" spans="2:10" x14ac:dyDescent="0.25">
      <c r="B221" s="8" t="s">
        <v>243</v>
      </c>
      <c r="C221" s="2" t="s">
        <v>5</v>
      </c>
      <c r="D221" s="2">
        <v>65</v>
      </c>
      <c r="E221" s="3" t="s">
        <v>6</v>
      </c>
      <c r="F221" s="6">
        <v>44999</v>
      </c>
      <c r="G221" s="2">
        <v>84</v>
      </c>
      <c r="H221" s="9">
        <v>2.5</v>
      </c>
      <c r="I221">
        <f>ROUND(calls[[#This Row],[Satisfaction Rating]],0)</f>
        <v>3</v>
      </c>
      <c r="J221" t="str">
        <f>TEXT(calls[[#This Row],[Date of Call]],"DDDD")</f>
        <v>Tuesday</v>
      </c>
    </row>
    <row r="222" spans="2:10" x14ac:dyDescent="0.25">
      <c r="B222" s="8" t="s">
        <v>244</v>
      </c>
      <c r="C222" s="2" t="s">
        <v>24</v>
      </c>
      <c r="D222" s="2">
        <v>68</v>
      </c>
      <c r="E222" s="3" t="s">
        <v>6</v>
      </c>
      <c r="F222" s="6">
        <v>44999</v>
      </c>
      <c r="G222" s="2">
        <v>32</v>
      </c>
      <c r="H222" s="9">
        <v>4.9000000000000004</v>
      </c>
      <c r="I222">
        <f>ROUND(calls[[#This Row],[Satisfaction Rating]],0)</f>
        <v>5</v>
      </c>
      <c r="J222" t="str">
        <f>TEXT(calls[[#This Row],[Date of Call]],"DDDD")</f>
        <v>Tuesday</v>
      </c>
    </row>
    <row r="223" spans="2:10" x14ac:dyDescent="0.25">
      <c r="B223" s="8" t="s">
        <v>245</v>
      </c>
      <c r="C223" s="2" t="s">
        <v>22</v>
      </c>
      <c r="D223" s="2">
        <v>72</v>
      </c>
      <c r="E223" s="3" t="s">
        <v>9</v>
      </c>
      <c r="F223" s="6">
        <v>44999</v>
      </c>
      <c r="G223" s="2">
        <v>132</v>
      </c>
      <c r="H223" s="9">
        <v>3.4</v>
      </c>
      <c r="I223">
        <f>ROUND(calls[[#This Row],[Satisfaction Rating]],0)</f>
        <v>3</v>
      </c>
      <c r="J223" t="str">
        <f>TEXT(calls[[#This Row],[Date of Call]],"DDDD")</f>
        <v>Tuesday</v>
      </c>
    </row>
    <row r="224" spans="2:10" x14ac:dyDescent="0.25">
      <c r="B224" s="8" t="s">
        <v>246</v>
      </c>
      <c r="C224" s="2" t="s">
        <v>22</v>
      </c>
      <c r="D224" s="2">
        <v>63</v>
      </c>
      <c r="E224" s="3" t="s">
        <v>10</v>
      </c>
      <c r="F224" s="6">
        <v>44999</v>
      </c>
      <c r="G224" s="2">
        <v>105</v>
      </c>
      <c r="H224" s="9">
        <v>3.3</v>
      </c>
      <c r="I224">
        <f>ROUND(calls[[#This Row],[Satisfaction Rating]],0)</f>
        <v>3</v>
      </c>
      <c r="J224" t="str">
        <f>TEXT(calls[[#This Row],[Date of Call]],"DDDD")</f>
        <v>Tuesday</v>
      </c>
    </row>
    <row r="225" spans="2:10" x14ac:dyDescent="0.25">
      <c r="B225" s="8" t="s">
        <v>247</v>
      </c>
      <c r="C225" s="2" t="s">
        <v>12</v>
      </c>
      <c r="D225" s="2">
        <v>139</v>
      </c>
      <c r="E225" s="3" t="s">
        <v>13</v>
      </c>
      <c r="F225" s="6">
        <v>45000</v>
      </c>
      <c r="G225" s="2">
        <v>48</v>
      </c>
      <c r="H225" s="9">
        <v>4.7</v>
      </c>
      <c r="I225">
        <f>ROUND(calls[[#This Row],[Satisfaction Rating]],0)</f>
        <v>5</v>
      </c>
      <c r="J225" t="str">
        <f>TEXT(calls[[#This Row],[Date of Call]],"DDDD")</f>
        <v>Wednesday</v>
      </c>
    </row>
    <row r="226" spans="2:10" x14ac:dyDescent="0.25">
      <c r="B226" s="8" t="s">
        <v>248</v>
      </c>
      <c r="C226" s="2" t="s">
        <v>14</v>
      </c>
      <c r="D226" s="2">
        <v>59</v>
      </c>
      <c r="E226" s="3" t="s">
        <v>13</v>
      </c>
      <c r="F226" s="6">
        <v>45000</v>
      </c>
      <c r="G226" s="2">
        <v>64</v>
      </c>
      <c r="H226" s="9">
        <v>4</v>
      </c>
      <c r="I226">
        <f>ROUND(calls[[#This Row],[Satisfaction Rating]],0)</f>
        <v>4</v>
      </c>
      <c r="J226" t="str">
        <f>TEXT(calls[[#This Row],[Date of Call]],"DDDD")</f>
        <v>Wednesday</v>
      </c>
    </row>
    <row r="227" spans="2:10" x14ac:dyDescent="0.25">
      <c r="B227" s="8" t="s">
        <v>249</v>
      </c>
      <c r="C227" s="2" t="s">
        <v>7</v>
      </c>
      <c r="D227" s="2">
        <v>138</v>
      </c>
      <c r="E227" s="3" t="s">
        <v>10</v>
      </c>
      <c r="F227" s="6">
        <v>45000</v>
      </c>
      <c r="G227" s="2">
        <v>44</v>
      </c>
      <c r="H227" s="9">
        <v>3.8</v>
      </c>
      <c r="I227">
        <f>ROUND(calls[[#This Row],[Satisfaction Rating]],0)</f>
        <v>4</v>
      </c>
      <c r="J227" t="str">
        <f>TEXT(calls[[#This Row],[Date of Call]],"DDDD")</f>
        <v>Wednesday</v>
      </c>
    </row>
    <row r="228" spans="2:10" x14ac:dyDescent="0.25">
      <c r="B228" s="8" t="s">
        <v>250</v>
      </c>
      <c r="C228" s="2" t="s">
        <v>12</v>
      </c>
      <c r="D228" s="2">
        <v>47</v>
      </c>
      <c r="E228" s="3" t="s">
        <v>9</v>
      </c>
      <c r="F228" s="6">
        <v>45000</v>
      </c>
      <c r="G228" s="2">
        <v>120</v>
      </c>
      <c r="H228" s="9">
        <v>3.1</v>
      </c>
      <c r="I228">
        <f>ROUND(calls[[#This Row],[Satisfaction Rating]],0)</f>
        <v>3</v>
      </c>
      <c r="J228" t="str">
        <f>TEXT(calls[[#This Row],[Date of Call]],"DDDD")</f>
        <v>Wednesday</v>
      </c>
    </row>
    <row r="229" spans="2:10" x14ac:dyDescent="0.25">
      <c r="B229" s="8" t="s">
        <v>251</v>
      </c>
      <c r="C229" s="2" t="s">
        <v>7</v>
      </c>
      <c r="D229" s="2">
        <v>74</v>
      </c>
      <c r="E229" s="3" t="s">
        <v>9</v>
      </c>
      <c r="F229" s="6">
        <v>45000</v>
      </c>
      <c r="G229" s="2">
        <v>144</v>
      </c>
      <c r="H229" s="9">
        <v>4.8</v>
      </c>
      <c r="I229">
        <f>ROUND(calls[[#This Row],[Satisfaction Rating]],0)</f>
        <v>5</v>
      </c>
      <c r="J229" t="str">
        <f>TEXT(calls[[#This Row],[Date of Call]],"DDDD")</f>
        <v>Wednesday</v>
      </c>
    </row>
    <row r="230" spans="2:10" x14ac:dyDescent="0.25">
      <c r="B230" s="8" t="s">
        <v>252</v>
      </c>
      <c r="C230" s="2" t="s">
        <v>22</v>
      </c>
      <c r="D230" s="2">
        <v>65</v>
      </c>
      <c r="E230" s="3" t="s">
        <v>9</v>
      </c>
      <c r="F230" s="6">
        <v>45000</v>
      </c>
      <c r="G230" s="2">
        <v>87</v>
      </c>
      <c r="H230" s="9">
        <v>2.7</v>
      </c>
      <c r="I230">
        <f>ROUND(calls[[#This Row],[Satisfaction Rating]],0)</f>
        <v>3</v>
      </c>
      <c r="J230" t="str">
        <f>TEXT(calls[[#This Row],[Date of Call]],"DDDD")</f>
        <v>Wednesday</v>
      </c>
    </row>
    <row r="231" spans="2:10" x14ac:dyDescent="0.25">
      <c r="B231" s="8" t="s">
        <v>253</v>
      </c>
      <c r="C231" s="2" t="s">
        <v>8</v>
      </c>
      <c r="D231" s="2">
        <v>123</v>
      </c>
      <c r="E231" s="3" t="s">
        <v>6</v>
      </c>
      <c r="F231" s="6">
        <v>45000</v>
      </c>
      <c r="G231" s="2">
        <v>36</v>
      </c>
      <c r="H231" s="9">
        <v>3.6</v>
      </c>
      <c r="I231">
        <f>ROUND(calls[[#This Row],[Satisfaction Rating]],0)</f>
        <v>4</v>
      </c>
      <c r="J231" t="str">
        <f>TEXT(calls[[#This Row],[Date of Call]],"DDDD")</f>
        <v>Wednesday</v>
      </c>
    </row>
    <row r="232" spans="2:10" x14ac:dyDescent="0.25">
      <c r="B232" s="8" t="s">
        <v>254</v>
      </c>
      <c r="C232" s="2" t="s">
        <v>22</v>
      </c>
      <c r="D232" s="2">
        <v>90</v>
      </c>
      <c r="E232" s="3" t="s">
        <v>13</v>
      </c>
      <c r="F232" s="6">
        <v>45001</v>
      </c>
      <c r="G232" s="2">
        <v>72</v>
      </c>
      <c r="H232" s="9">
        <v>4.7</v>
      </c>
      <c r="I232">
        <f>ROUND(calls[[#This Row],[Satisfaction Rating]],0)</f>
        <v>5</v>
      </c>
      <c r="J232" t="str">
        <f>TEXT(calls[[#This Row],[Date of Call]],"DDDD")</f>
        <v>Thursday</v>
      </c>
    </row>
    <row r="233" spans="2:10" x14ac:dyDescent="0.25">
      <c r="B233" s="8" t="s">
        <v>255</v>
      </c>
      <c r="C233" s="2" t="s">
        <v>17</v>
      </c>
      <c r="D233" s="2">
        <v>127</v>
      </c>
      <c r="E233" s="3" t="s">
        <v>10</v>
      </c>
      <c r="F233" s="6">
        <v>45001</v>
      </c>
      <c r="G233" s="2">
        <v>150</v>
      </c>
      <c r="H233" s="9">
        <v>4.4000000000000004</v>
      </c>
      <c r="I233">
        <f>ROUND(calls[[#This Row],[Satisfaction Rating]],0)</f>
        <v>4</v>
      </c>
      <c r="J233" t="str">
        <f>TEXT(calls[[#This Row],[Date of Call]],"DDDD")</f>
        <v>Thursday</v>
      </c>
    </row>
    <row r="234" spans="2:10" x14ac:dyDescent="0.25">
      <c r="B234" s="8" t="s">
        <v>256</v>
      </c>
      <c r="C234" s="2" t="s">
        <v>21</v>
      </c>
      <c r="D234" s="2">
        <v>60</v>
      </c>
      <c r="E234" s="3" t="s">
        <v>9</v>
      </c>
      <c r="F234" s="6">
        <v>45001</v>
      </c>
      <c r="G234" s="2">
        <v>68</v>
      </c>
      <c r="H234" s="9">
        <v>4.3</v>
      </c>
      <c r="I234">
        <f>ROUND(calls[[#This Row],[Satisfaction Rating]],0)</f>
        <v>4</v>
      </c>
      <c r="J234" t="str">
        <f>TEXT(calls[[#This Row],[Date of Call]],"DDDD")</f>
        <v>Thursday</v>
      </c>
    </row>
    <row r="235" spans="2:10" x14ac:dyDescent="0.25">
      <c r="B235" s="8" t="s">
        <v>257</v>
      </c>
      <c r="C235" s="2" t="s">
        <v>12</v>
      </c>
      <c r="D235" s="2">
        <v>94</v>
      </c>
      <c r="E235" s="3" t="s">
        <v>10</v>
      </c>
      <c r="F235" s="6">
        <v>45001</v>
      </c>
      <c r="G235" s="2">
        <v>99</v>
      </c>
      <c r="H235" s="9">
        <v>4.9000000000000004</v>
      </c>
      <c r="I235">
        <f>ROUND(calls[[#This Row],[Satisfaction Rating]],0)</f>
        <v>5</v>
      </c>
      <c r="J235" t="str">
        <f>TEXT(calls[[#This Row],[Date of Call]],"DDDD")</f>
        <v>Thursday</v>
      </c>
    </row>
    <row r="236" spans="2:10" x14ac:dyDescent="0.25">
      <c r="B236" s="8" t="s">
        <v>258</v>
      </c>
      <c r="C236" s="2" t="s">
        <v>8</v>
      </c>
      <c r="D236" s="2">
        <v>54</v>
      </c>
      <c r="E236" s="3" t="s">
        <v>9</v>
      </c>
      <c r="F236" s="6">
        <v>45001</v>
      </c>
      <c r="G236" s="2">
        <v>26</v>
      </c>
      <c r="H236" s="9">
        <v>4.8</v>
      </c>
      <c r="I236">
        <f>ROUND(calls[[#This Row],[Satisfaction Rating]],0)</f>
        <v>5</v>
      </c>
      <c r="J236" t="str">
        <f>TEXT(calls[[#This Row],[Date of Call]],"DDDD")</f>
        <v>Thursday</v>
      </c>
    </row>
    <row r="237" spans="2:10" x14ac:dyDescent="0.25">
      <c r="B237" s="8" t="s">
        <v>259</v>
      </c>
      <c r="C237" s="2" t="s">
        <v>22</v>
      </c>
      <c r="D237" s="2">
        <v>104</v>
      </c>
      <c r="E237" s="3" t="s">
        <v>9</v>
      </c>
      <c r="F237" s="6">
        <v>45001</v>
      </c>
      <c r="G237" s="2">
        <v>88</v>
      </c>
      <c r="H237" s="9">
        <v>3.2</v>
      </c>
      <c r="I237">
        <f>ROUND(calls[[#This Row],[Satisfaction Rating]],0)</f>
        <v>3</v>
      </c>
      <c r="J237" t="str">
        <f>TEXT(calls[[#This Row],[Date of Call]],"DDDD")</f>
        <v>Thursday</v>
      </c>
    </row>
    <row r="238" spans="2:10" x14ac:dyDescent="0.25">
      <c r="B238" s="8" t="s">
        <v>260</v>
      </c>
      <c r="C238" s="2" t="s">
        <v>15</v>
      </c>
      <c r="D238" s="2">
        <v>100</v>
      </c>
      <c r="E238" s="3" t="s">
        <v>9</v>
      </c>
      <c r="F238" s="6">
        <v>45001</v>
      </c>
      <c r="G238" s="2">
        <v>124</v>
      </c>
      <c r="H238" s="9">
        <v>3.4</v>
      </c>
      <c r="I238">
        <f>ROUND(calls[[#This Row],[Satisfaction Rating]],0)</f>
        <v>3</v>
      </c>
      <c r="J238" t="str">
        <f>TEXT(calls[[#This Row],[Date of Call]],"DDDD")</f>
        <v>Thursday</v>
      </c>
    </row>
    <row r="239" spans="2:10" x14ac:dyDescent="0.25">
      <c r="B239" s="8" t="s">
        <v>261</v>
      </c>
      <c r="C239" s="2" t="s">
        <v>7</v>
      </c>
      <c r="D239" s="2">
        <v>84</v>
      </c>
      <c r="E239" s="3" t="s">
        <v>9</v>
      </c>
      <c r="F239" s="6">
        <v>45001</v>
      </c>
      <c r="G239" s="2">
        <v>72</v>
      </c>
      <c r="H239" s="9">
        <v>3.5</v>
      </c>
      <c r="I239">
        <f>ROUND(calls[[#This Row],[Satisfaction Rating]],0)</f>
        <v>4</v>
      </c>
      <c r="J239" t="str">
        <f>TEXT(calls[[#This Row],[Date of Call]],"DDDD")</f>
        <v>Thursday</v>
      </c>
    </row>
    <row r="240" spans="2:10" x14ac:dyDescent="0.25">
      <c r="B240" s="8" t="s">
        <v>262</v>
      </c>
      <c r="C240" s="2" t="s">
        <v>20</v>
      </c>
      <c r="D240" s="2">
        <v>92</v>
      </c>
      <c r="E240" s="3" t="s">
        <v>11</v>
      </c>
      <c r="F240" s="6">
        <v>45002</v>
      </c>
      <c r="G240" s="2">
        <v>125</v>
      </c>
      <c r="H240" s="9">
        <v>4.9000000000000004</v>
      </c>
      <c r="I240">
        <f>ROUND(calls[[#This Row],[Satisfaction Rating]],0)</f>
        <v>5</v>
      </c>
      <c r="J240" t="str">
        <f>TEXT(calls[[#This Row],[Date of Call]],"DDDD")</f>
        <v>Friday</v>
      </c>
    </row>
    <row r="241" spans="2:10" x14ac:dyDescent="0.25">
      <c r="B241" s="8" t="s">
        <v>263</v>
      </c>
      <c r="C241" s="2" t="s">
        <v>18</v>
      </c>
      <c r="D241" s="2">
        <v>64</v>
      </c>
      <c r="E241" s="3" t="s">
        <v>10</v>
      </c>
      <c r="F241" s="6">
        <v>45002</v>
      </c>
      <c r="G241" s="2">
        <v>22</v>
      </c>
      <c r="H241" s="9">
        <v>4.0999999999999996</v>
      </c>
      <c r="I241">
        <f>ROUND(calls[[#This Row],[Satisfaction Rating]],0)</f>
        <v>4</v>
      </c>
      <c r="J241" t="str">
        <f>TEXT(calls[[#This Row],[Date of Call]],"DDDD")</f>
        <v>Friday</v>
      </c>
    </row>
    <row r="242" spans="2:10" x14ac:dyDescent="0.25">
      <c r="B242" s="8" t="s">
        <v>264</v>
      </c>
      <c r="C242" s="2" t="s">
        <v>23</v>
      </c>
      <c r="D242" s="2">
        <v>89</v>
      </c>
      <c r="E242" s="3" t="s">
        <v>13</v>
      </c>
      <c r="F242" s="6">
        <v>45003</v>
      </c>
      <c r="G242" s="2">
        <v>70</v>
      </c>
      <c r="H242" s="9">
        <v>4.9000000000000004</v>
      </c>
      <c r="I242">
        <f>ROUND(calls[[#This Row],[Satisfaction Rating]],0)</f>
        <v>5</v>
      </c>
      <c r="J242" t="str">
        <f>TEXT(calls[[#This Row],[Date of Call]],"DDDD")</f>
        <v>Saturday</v>
      </c>
    </row>
    <row r="243" spans="2:10" x14ac:dyDescent="0.25">
      <c r="B243" s="8" t="s">
        <v>265</v>
      </c>
      <c r="C243" s="2" t="s">
        <v>19</v>
      </c>
      <c r="D243" s="2">
        <v>40</v>
      </c>
      <c r="E243" s="3" t="s">
        <v>9</v>
      </c>
      <c r="F243" s="6">
        <v>45003</v>
      </c>
      <c r="G243" s="2">
        <v>24</v>
      </c>
      <c r="H243" s="9">
        <v>4.3</v>
      </c>
      <c r="I243">
        <f>ROUND(calls[[#This Row],[Satisfaction Rating]],0)</f>
        <v>4</v>
      </c>
      <c r="J243" t="str">
        <f>TEXT(calls[[#This Row],[Date of Call]],"DDDD")</f>
        <v>Saturday</v>
      </c>
    </row>
    <row r="244" spans="2:10" x14ac:dyDescent="0.25">
      <c r="B244" s="8" t="s">
        <v>266</v>
      </c>
      <c r="C244" s="2" t="s">
        <v>14</v>
      </c>
      <c r="D244" s="2">
        <v>75</v>
      </c>
      <c r="E244" s="3" t="s">
        <v>6</v>
      </c>
      <c r="F244" s="6">
        <v>45003</v>
      </c>
      <c r="G244" s="2">
        <v>32</v>
      </c>
      <c r="H244" s="9">
        <v>4.0999999999999996</v>
      </c>
      <c r="I244">
        <f>ROUND(calls[[#This Row],[Satisfaction Rating]],0)</f>
        <v>4</v>
      </c>
      <c r="J244" t="str">
        <f>TEXT(calls[[#This Row],[Date of Call]],"DDDD")</f>
        <v>Saturday</v>
      </c>
    </row>
    <row r="245" spans="2:10" x14ac:dyDescent="0.25">
      <c r="B245" s="8" t="s">
        <v>267</v>
      </c>
      <c r="C245" s="2" t="s">
        <v>17</v>
      </c>
      <c r="D245" s="2">
        <v>106</v>
      </c>
      <c r="E245" s="3" t="s">
        <v>11</v>
      </c>
      <c r="F245" s="6">
        <v>45003</v>
      </c>
      <c r="G245" s="2">
        <v>112</v>
      </c>
      <c r="H245" s="9">
        <v>4.4000000000000004</v>
      </c>
      <c r="I245">
        <f>ROUND(calls[[#This Row],[Satisfaction Rating]],0)</f>
        <v>4</v>
      </c>
      <c r="J245" t="str">
        <f>TEXT(calls[[#This Row],[Date of Call]],"DDDD")</f>
        <v>Saturday</v>
      </c>
    </row>
    <row r="246" spans="2:10" x14ac:dyDescent="0.25">
      <c r="B246" s="8" t="s">
        <v>268</v>
      </c>
      <c r="C246" s="2" t="s">
        <v>18</v>
      </c>
      <c r="D246" s="2">
        <v>58</v>
      </c>
      <c r="E246" s="3" t="s">
        <v>9</v>
      </c>
      <c r="F246" s="6">
        <v>45004</v>
      </c>
      <c r="G246" s="2">
        <v>43</v>
      </c>
      <c r="H246" s="9">
        <v>4.5</v>
      </c>
      <c r="I246">
        <f>ROUND(calls[[#This Row],[Satisfaction Rating]],0)</f>
        <v>5</v>
      </c>
      <c r="J246" t="str">
        <f>TEXT(calls[[#This Row],[Date of Call]],"DDDD")</f>
        <v>Sunday</v>
      </c>
    </row>
    <row r="247" spans="2:10" x14ac:dyDescent="0.25">
      <c r="B247" s="8" t="s">
        <v>269</v>
      </c>
      <c r="C247" s="2" t="s">
        <v>7</v>
      </c>
      <c r="D247" s="2">
        <v>84</v>
      </c>
      <c r="E247" s="3" t="s">
        <v>11</v>
      </c>
      <c r="F247" s="6">
        <v>45004</v>
      </c>
      <c r="G247" s="2">
        <v>22</v>
      </c>
      <c r="H247" s="9">
        <v>3.5</v>
      </c>
      <c r="I247">
        <f>ROUND(calls[[#This Row],[Satisfaction Rating]],0)</f>
        <v>4</v>
      </c>
      <c r="J247" t="str">
        <f>TEXT(calls[[#This Row],[Date of Call]],"DDDD")</f>
        <v>Sunday</v>
      </c>
    </row>
    <row r="248" spans="2:10" x14ac:dyDescent="0.25">
      <c r="B248" s="8" t="s">
        <v>270</v>
      </c>
      <c r="C248" s="2" t="s">
        <v>22</v>
      </c>
      <c r="D248" s="2">
        <v>140</v>
      </c>
      <c r="E248" s="3" t="s">
        <v>11</v>
      </c>
      <c r="F248" s="6">
        <v>45004</v>
      </c>
      <c r="G248" s="2">
        <v>93</v>
      </c>
      <c r="H248" s="9">
        <v>4.4000000000000004</v>
      </c>
      <c r="I248">
        <f>ROUND(calls[[#This Row],[Satisfaction Rating]],0)</f>
        <v>4</v>
      </c>
      <c r="J248" t="str">
        <f>TEXT(calls[[#This Row],[Date of Call]],"DDDD")</f>
        <v>Sunday</v>
      </c>
    </row>
    <row r="249" spans="2:10" x14ac:dyDescent="0.25">
      <c r="B249" s="8" t="s">
        <v>271</v>
      </c>
      <c r="C249" s="2" t="s">
        <v>18</v>
      </c>
      <c r="D249" s="2">
        <v>67</v>
      </c>
      <c r="E249" s="3" t="s">
        <v>11</v>
      </c>
      <c r="F249" s="6">
        <v>45004</v>
      </c>
      <c r="G249" s="2">
        <v>45</v>
      </c>
      <c r="H249" s="9">
        <v>3.5</v>
      </c>
      <c r="I249">
        <f>ROUND(calls[[#This Row],[Satisfaction Rating]],0)</f>
        <v>4</v>
      </c>
      <c r="J249" t="str">
        <f>TEXT(calls[[#This Row],[Date of Call]],"DDDD")</f>
        <v>Sunday</v>
      </c>
    </row>
    <row r="250" spans="2:10" x14ac:dyDescent="0.25">
      <c r="B250" s="8" t="s">
        <v>272</v>
      </c>
      <c r="C250" s="2" t="s">
        <v>12</v>
      </c>
      <c r="D250" s="2">
        <v>126</v>
      </c>
      <c r="E250" s="3" t="s">
        <v>11</v>
      </c>
      <c r="F250" s="6">
        <v>45005</v>
      </c>
      <c r="G250" s="2">
        <v>96</v>
      </c>
      <c r="H250" s="9">
        <v>3.8</v>
      </c>
      <c r="I250">
        <f>ROUND(calls[[#This Row],[Satisfaction Rating]],0)</f>
        <v>4</v>
      </c>
      <c r="J250" t="str">
        <f>TEXT(calls[[#This Row],[Date of Call]],"DDDD")</f>
        <v>Monday</v>
      </c>
    </row>
    <row r="251" spans="2:10" x14ac:dyDescent="0.25">
      <c r="B251" s="8" t="s">
        <v>273</v>
      </c>
      <c r="C251" s="2" t="s">
        <v>12</v>
      </c>
      <c r="D251" s="2">
        <v>89</v>
      </c>
      <c r="E251" s="3" t="s">
        <v>9</v>
      </c>
      <c r="F251" s="6">
        <v>45005</v>
      </c>
      <c r="G251" s="2">
        <v>96</v>
      </c>
      <c r="H251" s="9">
        <v>3.3</v>
      </c>
      <c r="I251">
        <f>ROUND(calls[[#This Row],[Satisfaction Rating]],0)</f>
        <v>3</v>
      </c>
      <c r="J251" t="str">
        <f>TEXT(calls[[#This Row],[Date of Call]],"DDDD")</f>
        <v>Monday</v>
      </c>
    </row>
    <row r="252" spans="2:10" x14ac:dyDescent="0.25">
      <c r="B252" s="8" t="s">
        <v>274</v>
      </c>
      <c r="C252" s="2" t="s">
        <v>23</v>
      </c>
      <c r="D252" s="2">
        <v>56</v>
      </c>
      <c r="E252" s="3" t="s">
        <v>10</v>
      </c>
      <c r="F252" s="6">
        <v>45005</v>
      </c>
      <c r="G252" s="2">
        <v>31</v>
      </c>
      <c r="H252" s="9">
        <v>4.4000000000000004</v>
      </c>
      <c r="I252">
        <f>ROUND(calls[[#This Row],[Satisfaction Rating]],0)</f>
        <v>4</v>
      </c>
      <c r="J252" t="str">
        <f>TEXT(calls[[#This Row],[Date of Call]],"DDDD")</f>
        <v>Monday</v>
      </c>
    </row>
    <row r="253" spans="2:10" x14ac:dyDescent="0.25">
      <c r="B253" s="8" t="s">
        <v>275</v>
      </c>
      <c r="C253" s="2" t="s">
        <v>8</v>
      </c>
      <c r="D253" s="2">
        <v>48</v>
      </c>
      <c r="E253" s="3" t="s">
        <v>9</v>
      </c>
      <c r="F253" s="6">
        <v>45005</v>
      </c>
      <c r="G253" s="2">
        <v>200</v>
      </c>
      <c r="H253" s="9">
        <v>3.9</v>
      </c>
      <c r="I253">
        <f>ROUND(calls[[#This Row],[Satisfaction Rating]],0)</f>
        <v>4</v>
      </c>
      <c r="J253" t="str">
        <f>TEXT(calls[[#This Row],[Date of Call]],"DDDD")</f>
        <v>Monday</v>
      </c>
    </row>
    <row r="254" spans="2:10" x14ac:dyDescent="0.25">
      <c r="B254" s="8" t="s">
        <v>276</v>
      </c>
      <c r="C254" s="2" t="s">
        <v>12</v>
      </c>
      <c r="D254" s="2">
        <v>55</v>
      </c>
      <c r="E254" s="3" t="s">
        <v>10</v>
      </c>
      <c r="F254" s="6">
        <v>45005</v>
      </c>
      <c r="G254" s="2">
        <v>99</v>
      </c>
      <c r="H254" s="9">
        <v>2.7</v>
      </c>
      <c r="I254">
        <f>ROUND(calls[[#This Row],[Satisfaction Rating]],0)</f>
        <v>3</v>
      </c>
      <c r="J254" t="str">
        <f>TEXT(calls[[#This Row],[Date of Call]],"DDDD")</f>
        <v>Monday</v>
      </c>
    </row>
    <row r="255" spans="2:10" x14ac:dyDescent="0.25">
      <c r="B255" s="8" t="s">
        <v>277</v>
      </c>
      <c r="C255" s="2" t="s">
        <v>21</v>
      </c>
      <c r="D255" s="2">
        <v>88</v>
      </c>
      <c r="E255" s="3" t="s">
        <v>6</v>
      </c>
      <c r="F255" s="6">
        <v>45005</v>
      </c>
      <c r="G255" s="2">
        <v>144</v>
      </c>
      <c r="H255" s="9">
        <v>2.9</v>
      </c>
      <c r="I255">
        <f>ROUND(calls[[#This Row],[Satisfaction Rating]],0)</f>
        <v>3</v>
      </c>
      <c r="J255" t="str">
        <f>TEXT(calls[[#This Row],[Date of Call]],"DDDD")</f>
        <v>Monday</v>
      </c>
    </row>
    <row r="256" spans="2:10" x14ac:dyDescent="0.25">
      <c r="B256" s="8" t="s">
        <v>278</v>
      </c>
      <c r="C256" s="2" t="s">
        <v>23</v>
      </c>
      <c r="D256" s="2">
        <v>102</v>
      </c>
      <c r="E256" s="3" t="s">
        <v>11</v>
      </c>
      <c r="F256" s="6">
        <v>45006</v>
      </c>
      <c r="G256" s="2">
        <v>81</v>
      </c>
      <c r="H256" s="9">
        <v>4</v>
      </c>
      <c r="I256">
        <f>ROUND(calls[[#This Row],[Satisfaction Rating]],0)</f>
        <v>4</v>
      </c>
      <c r="J256" t="str">
        <f>TEXT(calls[[#This Row],[Date of Call]],"DDDD")</f>
        <v>Tuesday</v>
      </c>
    </row>
    <row r="257" spans="2:10" x14ac:dyDescent="0.25">
      <c r="B257" s="8" t="s">
        <v>279</v>
      </c>
      <c r="C257" s="2" t="s">
        <v>21</v>
      </c>
      <c r="D257" s="2">
        <v>155</v>
      </c>
      <c r="E257" s="3" t="s">
        <v>6</v>
      </c>
      <c r="F257" s="6">
        <v>45006</v>
      </c>
      <c r="G257" s="2">
        <v>70</v>
      </c>
      <c r="H257" s="9">
        <v>4.4000000000000004</v>
      </c>
      <c r="I257">
        <f>ROUND(calls[[#This Row],[Satisfaction Rating]],0)</f>
        <v>4</v>
      </c>
      <c r="J257" t="str">
        <f>TEXT(calls[[#This Row],[Date of Call]],"DDDD")</f>
        <v>Tuesday</v>
      </c>
    </row>
    <row r="258" spans="2:10" x14ac:dyDescent="0.25">
      <c r="B258" s="8" t="s">
        <v>280</v>
      </c>
      <c r="C258" s="2" t="s">
        <v>12</v>
      </c>
      <c r="D258" s="2">
        <v>63</v>
      </c>
      <c r="E258" s="3" t="s">
        <v>6</v>
      </c>
      <c r="F258" s="6">
        <v>45006</v>
      </c>
      <c r="G258" s="2">
        <v>148</v>
      </c>
      <c r="H258" s="9">
        <v>5</v>
      </c>
      <c r="I258">
        <f>ROUND(calls[[#This Row],[Satisfaction Rating]],0)</f>
        <v>5</v>
      </c>
      <c r="J258" t="str">
        <f>TEXT(calls[[#This Row],[Date of Call]],"DDDD")</f>
        <v>Tuesday</v>
      </c>
    </row>
    <row r="259" spans="2:10" x14ac:dyDescent="0.25">
      <c r="B259" s="8" t="s">
        <v>281</v>
      </c>
      <c r="C259" s="2" t="s">
        <v>15</v>
      </c>
      <c r="D259" s="2">
        <v>59</v>
      </c>
      <c r="E259" s="3" t="s">
        <v>11</v>
      </c>
      <c r="F259" s="6">
        <v>45006</v>
      </c>
      <c r="G259" s="2">
        <v>215</v>
      </c>
      <c r="H259" s="9">
        <v>4.0999999999999996</v>
      </c>
      <c r="I259">
        <f>ROUND(calls[[#This Row],[Satisfaction Rating]],0)</f>
        <v>4</v>
      </c>
      <c r="J259" t="str">
        <f>TEXT(calls[[#This Row],[Date of Call]],"DDDD")</f>
        <v>Tuesday</v>
      </c>
    </row>
    <row r="260" spans="2:10" x14ac:dyDescent="0.25">
      <c r="B260" s="8" t="s">
        <v>282</v>
      </c>
      <c r="C260" s="2" t="s">
        <v>15</v>
      </c>
      <c r="D260" s="2">
        <v>144</v>
      </c>
      <c r="E260" s="3" t="s">
        <v>9</v>
      </c>
      <c r="F260" s="6">
        <v>45006</v>
      </c>
      <c r="G260" s="2">
        <v>124</v>
      </c>
      <c r="H260" s="9">
        <v>4.4000000000000004</v>
      </c>
      <c r="I260">
        <f>ROUND(calls[[#This Row],[Satisfaction Rating]],0)</f>
        <v>4</v>
      </c>
      <c r="J260" t="str">
        <f>TEXT(calls[[#This Row],[Date of Call]],"DDDD")</f>
        <v>Tuesday</v>
      </c>
    </row>
    <row r="261" spans="2:10" x14ac:dyDescent="0.25">
      <c r="B261" s="8" t="s">
        <v>283</v>
      </c>
      <c r="C261" s="2" t="s">
        <v>7</v>
      </c>
      <c r="D261" s="2">
        <v>113</v>
      </c>
      <c r="E261" s="3" t="s">
        <v>13</v>
      </c>
      <c r="F261" s="6">
        <v>45006</v>
      </c>
      <c r="G261" s="2">
        <v>168</v>
      </c>
      <c r="H261" s="9">
        <v>4.0999999999999996</v>
      </c>
      <c r="I261">
        <f>ROUND(calls[[#This Row],[Satisfaction Rating]],0)</f>
        <v>4</v>
      </c>
      <c r="J261" t="str">
        <f>TEXT(calls[[#This Row],[Date of Call]],"DDDD")</f>
        <v>Tuesday</v>
      </c>
    </row>
    <row r="262" spans="2:10" x14ac:dyDescent="0.25">
      <c r="B262" s="8" t="s">
        <v>284</v>
      </c>
      <c r="C262" s="2" t="s">
        <v>16</v>
      </c>
      <c r="D262" s="2">
        <v>154</v>
      </c>
      <c r="E262" s="3" t="s">
        <v>10</v>
      </c>
      <c r="F262" s="6">
        <v>45006</v>
      </c>
      <c r="G262" s="2">
        <v>90</v>
      </c>
      <c r="H262" s="9">
        <v>4.5</v>
      </c>
      <c r="I262">
        <f>ROUND(calls[[#This Row],[Satisfaction Rating]],0)</f>
        <v>5</v>
      </c>
      <c r="J262" t="str">
        <f>TEXT(calls[[#This Row],[Date of Call]],"DDDD")</f>
        <v>Tuesday</v>
      </c>
    </row>
    <row r="263" spans="2:10" x14ac:dyDescent="0.25">
      <c r="B263" s="8" t="s">
        <v>285</v>
      </c>
      <c r="C263" s="2" t="s">
        <v>16</v>
      </c>
      <c r="D263" s="2">
        <v>58</v>
      </c>
      <c r="E263" s="3" t="s">
        <v>11</v>
      </c>
      <c r="F263" s="6">
        <v>45007</v>
      </c>
      <c r="G263" s="2">
        <v>176</v>
      </c>
      <c r="H263" s="9">
        <v>4.2</v>
      </c>
      <c r="I263">
        <f>ROUND(calls[[#This Row],[Satisfaction Rating]],0)</f>
        <v>4</v>
      </c>
      <c r="J263" t="str">
        <f>TEXT(calls[[#This Row],[Date of Call]],"DDDD")</f>
        <v>Wednesday</v>
      </c>
    </row>
    <row r="264" spans="2:10" x14ac:dyDescent="0.25">
      <c r="B264" s="8" t="s">
        <v>286</v>
      </c>
      <c r="C264" s="2" t="s">
        <v>8</v>
      </c>
      <c r="D264" s="2">
        <v>63</v>
      </c>
      <c r="E264" s="3" t="s">
        <v>6</v>
      </c>
      <c r="F264" s="6">
        <v>45007</v>
      </c>
      <c r="G264" s="2">
        <v>87</v>
      </c>
      <c r="H264" s="9">
        <v>4.5999999999999996</v>
      </c>
      <c r="I264">
        <f>ROUND(calls[[#This Row],[Satisfaction Rating]],0)</f>
        <v>5</v>
      </c>
      <c r="J264" t="str">
        <f>TEXT(calls[[#This Row],[Date of Call]],"DDDD")</f>
        <v>Wednesday</v>
      </c>
    </row>
    <row r="265" spans="2:10" x14ac:dyDescent="0.25">
      <c r="B265" s="8" t="s">
        <v>287</v>
      </c>
      <c r="C265" s="2" t="s">
        <v>22</v>
      </c>
      <c r="D265" s="2">
        <v>59</v>
      </c>
      <c r="E265" s="3" t="s">
        <v>9</v>
      </c>
      <c r="F265" s="6">
        <v>45007</v>
      </c>
      <c r="G265" s="2">
        <v>128</v>
      </c>
      <c r="H265" s="9">
        <v>4.5</v>
      </c>
      <c r="I265">
        <f>ROUND(calls[[#This Row],[Satisfaction Rating]],0)</f>
        <v>5</v>
      </c>
      <c r="J265" t="str">
        <f>TEXT(calls[[#This Row],[Date of Call]],"DDDD")</f>
        <v>Wednesday</v>
      </c>
    </row>
    <row r="266" spans="2:10" x14ac:dyDescent="0.25">
      <c r="B266" s="8" t="s">
        <v>288</v>
      </c>
      <c r="C266" s="2" t="s">
        <v>5</v>
      </c>
      <c r="D266" s="2">
        <v>129</v>
      </c>
      <c r="E266" s="3" t="s">
        <v>6</v>
      </c>
      <c r="F266" s="6">
        <v>45007</v>
      </c>
      <c r="G266" s="2">
        <v>120</v>
      </c>
      <c r="H266" s="9">
        <v>4.0999999999999996</v>
      </c>
      <c r="I266">
        <f>ROUND(calls[[#This Row],[Satisfaction Rating]],0)</f>
        <v>4</v>
      </c>
      <c r="J266" t="str">
        <f>TEXT(calls[[#This Row],[Date of Call]],"DDDD")</f>
        <v>Wednesday</v>
      </c>
    </row>
    <row r="267" spans="2:10" x14ac:dyDescent="0.25">
      <c r="B267" s="8" t="s">
        <v>289</v>
      </c>
      <c r="C267" s="2" t="s">
        <v>24</v>
      </c>
      <c r="D267" s="2">
        <v>101</v>
      </c>
      <c r="E267" s="3" t="s">
        <v>13</v>
      </c>
      <c r="F267" s="6">
        <v>45007</v>
      </c>
      <c r="G267" s="2">
        <v>130</v>
      </c>
      <c r="H267" s="9">
        <v>4.8</v>
      </c>
      <c r="I267">
        <f>ROUND(calls[[#This Row],[Satisfaction Rating]],0)</f>
        <v>5</v>
      </c>
      <c r="J267" t="str">
        <f>TEXT(calls[[#This Row],[Date of Call]],"DDDD")</f>
        <v>Wednesday</v>
      </c>
    </row>
    <row r="268" spans="2:10" x14ac:dyDescent="0.25">
      <c r="B268" s="8" t="s">
        <v>290</v>
      </c>
      <c r="C268" s="2" t="s">
        <v>19</v>
      </c>
      <c r="D268" s="2">
        <v>154</v>
      </c>
      <c r="E268" s="3" t="s">
        <v>9</v>
      </c>
      <c r="F268" s="6">
        <v>45007</v>
      </c>
      <c r="G268" s="2">
        <v>172</v>
      </c>
      <c r="H268" s="9">
        <v>3.1</v>
      </c>
      <c r="I268">
        <f>ROUND(calls[[#This Row],[Satisfaction Rating]],0)</f>
        <v>3</v>
      </c>
      <c r="J268" t="str">
        <f>TEXT(calls[[#This Row],[Date of Call]],"DDDD")</f>
        <v>Wednesday</v>
      </c>
    </row>
    <row r="269" spans="2:10" x14ac:dyDescent="0.25">
      <c r="B269" s="8" t="s">
        <v>291</v>
      </c>
      <c r="C269" s="2" t="s">
        <v>18</v>
      </c>
      <c r="D269" s="2">
        <v>131</v>
      </c>
      <c r="E269" s="3" t="s">
        <v>9</v>
      </c>
      <c r="F269" s="6">
        <v>45007</v>
      </c>
      <c r="G269" s="2">
        <v>58</v>
      </c>
      <c r="H269" s="9">
        <v>4.9000000000000004</v>
      </c>
      <c r="I269">
        <f>ROUND(calls[[#This Row],[Satisfaction Rating]],0)</f>
        <v>5</v>
      </c>
      <c r="J269" t="str">
        <f>TEXT(calls[[#This Row],[Date of Call]],"DDDD")</f>
        <v>Wednesday</v>
      </c>
    </row>
    <row r="270" spans="2:10" x14ac:dyDescent="0.25">
      <c r="B270" s="8" t="s">
        <v>292</v>
      </c>
      <c r="C270" s="2" t="s">
        <v>15</v>
      </c>
      <c r="D270" s="2">
        <v>111</v>
      </c>
      <c r="E270" s="3" t="s">
        <v>13</v>
      </c>
      <c r="F270" s="6">
        <v>45008</v>
      </c>
      <c r="G270" s="2">
        <v>86</v>
      </c>
      <c r="H270" s="9">
        <v>4.0999999999999996</v>
      </c>
      <c r="I270">
        <f>ROUND(calls[[#This Row],[Satisfaction Rating]],0)</f>
        <v>4</v>
      </c>
      <c r="J270" t="str">
        <f>TEXT(calls[[#This Row],[Date of Call]],"DDDD")</f>
        <v>Thursday</v>
      </c>
    </row>
    <row r="271" spans="2:10" x14ac:dyDescent="0.25">
      <c r="B271" s="8" t="s">
        <v>293</v>
      </c>
      <c r="C271" s="2" t="s">
        <v>16</v>
      </c>
      <c r="D271" s="2">
        <v>142</v>
      </c>
      <c r="E271" s="3" t="s">
        <v>13</v>
      </c>
      <c r="F271" s="6">
        <v>45009</v>
      </c>
      <c r="G271" s="2">
        <v>31</v>
      </c>
      <c r="H271" s="9">
        <v>4.4000000000000004</v>
      </c>
      <c r="I271">
        <f>ROUND(calls[[#This Row],[Satisfaction Rating]],0)</f>
        <v>4</v>
      </c>
      <c r="J271" t="str">
        <f>TEXT(calls[[#This Row],[Date of Call]],"DDDD")</f>
        <v>Friday</v>
      </c>
    </row>
    <row r="272" spans="2:10" x14ac:dyDescent="0.25">
      <c r="B272" s="8" t="s">
        <v>294</v>
      </c>
      <c r="C272" s="2" t="s">
        <v>23</v>
      </c>
      <c r="D272" s="2">
        <v>93</v>
      </c>
      <c r="E272" s="3" t="s">
        <v>6</v>
      </c>
      <c r="F272" s="6">
        <v>45009</v>
      </c>
      <c r="G272" s="2">
        <v>72</v>
      </c>
      <c r="H272" s="9">
        <v>4.4000000000000004</v>
      </c>
      <c r="I272">
        <f>ROUND(calls[[#This Row],[Satisfaction Rating]],0)</f>
        <v>4</v>
      </c>
      <c r="J272" t="str">
        <f>TEXT(calls[[#This Row],[Date of Call]],"DDDD")</f>
        <v>Friday</v>
      </c>
    </row>
    <row r="273" spans="2:10" x14ac:dyDescent="0.25">
      <c r="B273" s="8" t="s">
        <v>295</v>
      </c>
      <c r="C273" s="2" t="s">
        <v>16</v>
      </c>
      <c r="D273" s="2">
        <v>125</v>
      </c>
      <c r="E273" s="3" t="s">
        <v>10</v>
      </c>
      <c r="F273" s="6">
        <v>45010</v>
      </c>
      <c r="G273" s="2">
        <v>27</v>
      </c>
      <c r="H273" s="9">
        <v>3</v>
      </c>
      <c r="I273">
        <f>ROUND(calls[[#This Row],[Satisfaction Rating]],0)</f>
        <v>3</v>
      </c>
      <c r="J273" t="str">
        <f>TEXT(calls[[#This Row],[Date of Call]],"DDDD")</f>
        <v>Saturday</v>
      </c>
    </row>
    <row r="274" spans="2:10" x14ac:dyDescent="0.25">
      <c r="B274" s="8" t="s">
        <v>296</v>
      </c>
      <c r="C274" s="2" t="s">
        <v>5</v>
      </c>
      <c r="D274" s="2">
        <v>76</v>
      </c>
      <c r="E274" s="3" t="s">
        <v>9</v>
      </c>
      <c r="F274" s="6">
        <v>45010</v>
      </c>
      <c r="G274" s="2">
        <v>110</v>
      </c>
      <c r="H274" s="9">
        <v>4.4000000000000004</v>
      </c>
      <c r="I274">
        <f>ROUND(calls[[#This Row],[Satisfaction Rating]],0)</f>
        <v>4</v>
      </c>
      <c r="J274" t="str">
        <f>TEXT(calls[[#This Row],[Date of Call]],"DDDD")</f>
        <v>Saturday</v>
      </c>
    </row>
    <row r="275" spans="2:10" x14ac:dyDescent="0.25">
      <c r="B275" s="8" t="s">
        <v>297</v>
      </c>
      <c r="C275" s="2" t="s">
        <v>7</v>
      </c>
      <c r="D275" s="2">
        <v>69</v>
      </c>
      <c r="E275" s="3" t="s">
        <v>6</v>
      </c>
      <c r="F275" s="6">
        <v>45010</v>
      </c>
      <c r="G275" s="2">
        <v>126</v>
      </c>
      <c r="H275" s="9">
        <v>3.7</v>
      </c>
      <c r="I275">
        <f>ROUND(calls[[#This Row],[Satisfaction Rating]],0)</f>
        <v>4</v>
      </c>
      <c r="J275" t="str">
        <f>TEXT(calls[[#This Row],[Date of Call]],"DDDD")</f>
        <v>Saturday</v>
      </c>
    </row>
    <row r="276" spans="2:10" x14ac:dyDescent="0.25">
      <c r="B276" s="8" t="s">
        <v>298</v>
      </c>
      <c r="C276" s="2" t="s">
        <v>22</v>
      </c>
      <c r="D276" s="2">
        <v>149</v>
      </c>
      <c r="E276" s="3" t="s">
        <v>10</v>
      </c>
      <c r="F276" s="6">
        <v>45010</v>
      </c>
      <c r="G276" s="2">
        <v>60</v>
      </c>
      <c r="H276" s="9">
        <v>3.9</v>
      </c>
      <c r="I276">
        <f>ROUND(calls[[#This Row],[Satisfaction Rating]],0)</f>
        <v>4</v>
      </c>
      <c r="J276" t="str">
        <f>TEXT(calls[[#This Row],[Date of Call]],"DDDD")</f>
        <v>Saturday</v>
      </c>
    </row>
    <row r="277" spans="2:10" x14ac:dyDescent="0.25">
      <c r="B277" s="8" t="s">
        <v>299</v>
      </c>
      <c r="C277" s="2" t="s">
        <v>16</v>
      </c>
      <c r="D277" s="2">
        <v>57</v>
      </c>
      <c r="E277" s="3" t="s">
        <v>6</v>
      </c>
      <c r="F277" s="6">
        <v>45010</v>
      </c>
      <c r="G277" s="2">
        <v>35</v>
      </c>
      <c r="H277" s="9">
        <v>3.5</v>
      </c>
      <c r="I277">
        <f>ROUND(calls[[#This Row],[Satisfaction Rating]],0)</f>
        <v>4</v>
      </c>
      <c r="J277" t="str">
        <f>TEXT(calls[[#This Row],[Date of Call]],"DDDD")</f>
        <v>Saturday</v>
      </c>
    </row>
    <row r="278" spans="2:10" x14ac:dyDescent="0.25">
      <c r="B278" s="8" t="s">
        <v>300</v>
      </c>
      <c r="C278" s="2" t="s">
        <v>12</v>
      </c>
      <c r="D278" s="2">
        <v>113</v>
      </c>
      <c r="E278" s="3" t="s">
        <v>9</v>
      </c>
      <c r="F278" s="6">
        <v>45010</v>
      </c>
      <c r="G278" s="2">
        <v>81</v>
      </c>
      <c r="H278" s="9">
        <v>3.5</v>
      </c>
      <c r="I278">
        <f>ROUND(calls[[#This Row],[Satisfaction Rating]],0)</f>
        <v>4</v>
      </c>
      <c r="J278" t="str">
        <f>TEXT(calls[[#This Row],[Date of Call]],"DDDD")</f>
        <v>Saturday</v>
      </c>
    </row>
    <row r="279" spans="2:10" x14ac:dyDescent="0.25">
      <c r="B279" s="8" t="s">
        <v>301</v>
      </c>
      <c r="C279" s="2" t="s">
        <v>20</v>
      </c>
      <c r="D279" s="2">
        <v>160</v>
      </c>
      <c r="E279" s="3" t="s">
        <v>10</v>
      </c>
      <c r="F279" s="6">
        <v>45010</v>
      </c>
      <c r="G279" s="2">
        <v>116</v>
      </c>
      <c r="H279" s="9">
        <v>3.4</v>
      </c>
      <c r="I279">
        <f>ROUND(calls[[#This Row],[Satisfaction Rating]],0)</f>
        <v>3</v>
      </c>
      <c r="J279" t="str">
        <f>TEXT(calls[[#This Row],[Date of Call]],"DDDD")</f>
        <v>Saturday</v>
      </c>
    </row>
    <row r="280" spans="2:10" x14ac:dyDescent="0.25">
      <c r="B280" s="8" t="s">
        <v>302</v>
      </c>
      <c r="C280" s="2" t="s">
        <v>8</v>
      </c>
      <c r="D280" s="2">
        <v>158</v>
      </c>
      <c r="E280" s="3" t="s">
        <v>11</v>
      </c>
      <c r="F280" s="6">
        <v>45010</v>
      </c>
      <c r="G280" s="2">
        <v>60</v>
      </c>
      <c r="H280" s="9">
        <v>4.5</v>
      </c>
      <c r="I280">
        <f>ROUND(calls[[#This Row],[Satisfaction Rating]],0)</f>
        <v>5</v>
      </c>
      <c r="J280" t="str">
        <f>TEXT(calls[[#This Row],[Date of Call]],"DDDD")</f>
        <v>Saturday</v>
      </c>
    </row>
    <row r="281" spans="2:10" x14ac:dyDescent="0.25">
      <c r="B281" s="8" t="s">
        <v>303</v>
      </c>
      <c r="C281" s="2" t="s">
        <v>7</v>
      </c>
      <c r="D281" s="2">
        <v>77</v>
      </c>
      <c r="E281" s="3" t="s">
        <v>10</v>
      </c>
      <c r="F281" s="6">
        <v>45011</v>
      </c>
      <c r="G281" s="2">
        <v>130</v>
      </c>
      <c r="H281" s="9">
        <v>4.2</v>
      </c>
      <c r="I281">
        <f>ROUND(calls[[#This Row],[Satisfaction Rating]],0)</f>
        <v>4</v>
      </c>
      <c r="J281" t="str">
        <f>TEXT(calls[[#This Row],[Date of Call]],"DDDD")</f>
        <v>Sunday</v>
      </c>
    </row>
    <row r="282" spans="2:10" x14ac:dyDescent="0.25">
      <c r="B282" s="8" t="s">
        <v>304</v>
      </c>
      <c r="C282" s="2" t="s">
        <v>14</v>
      </c>
      <c r="D282" s="2">
        <v>118</v>
      </c>
      <c r="E282" s="3" t="s">
        <v>13</v>
      </c>
      <c r="F282" s="6">
        <v>45011</v>
      </c>
      <c r="G282" s="2">
        <v>99</v>
      </c>
      <c r="H282" s="9">
        <v>5</v>
      </c>
      <c r="I282">
        <f>ROUND(calls[[#This Row],[Satisfaction Rating]],0)</f>
        <v>5</v>
      </c>
      <c r="J282" t="str">
        <f>TEXT(calls[[#This Row],[Date of Call]],"DDDD")</f>
        <v>Sunday</v>
      </c>
    </row>
    <row r="283" spans="2:10" x14ac:dyDescent="0.25">
      <c r="B283" s="8" t="s">
        <v>305</v>
      </c>
      <c r="C283" s="2" t="s">
        <v>19</v>
      </c>
      <c r="D283" s="2">
        <v>75</v>
      </c>
      <c r="E283" s="3" t="s">
        <v>9</v>
      </c>
      <c r="F283" s="6">
        <v>45011</v>
      </c>
      <c r="G283" s="2">
        <v>135</v>
      </c>
      <c r="H283" s="9">
        <v>4.7</v>
      </c>
      <c r="I283">
        <f>ROUND(calls[[#This Row],[Satisfaction Rating]],0)</f>
        <v>5</v>
      </c>
      <c r="J283" t="str">
        <f>TEXT(calls[[#This Row],[Date of Call]],"DDDD")</f>
        <v>Sunday</v>
      </c>
    </row>
    <row r="284" spans="2:10" x14ac:dyDescent="0.25">
      <c r="B284" s="8" t="s">
        <v>306</v>
      </c>
      <c r="C284" s="2" t="s">
        <v>12</v>
      </c>
      <c r="D284" s="2">
        <v>103</v>
      </c>
      <c r="E284" s="3" t="s">
        <v>10</v>
      </c>
      <c r="F284" s="6">
        <v>45011</v>
      </c>
      <c r="G284" s="2">
        <v>42</v>
      </c>
      <c r="H284" s="9">
        <v>2.8</v>
      </c>
      <c r="I284">
        <f>ROUND(calls[[#This Row],[Satisfaction Rating]],0)</f>
        <v>3</v>
      </c>
      <c r="J284" t="str">
        <f>TEXT(calls[[#This Row],[Date of Call]],"DDDD")</f>
        <v>Sunday</v>
      </c>
    </row>
    <row r="285" spans="2:10" x14ac:dyDescent="0.25">
      <c r="B285" s="8" t="s">
        <v>307</v>
      </c>
      <c r="C285" s="2" t="s">
        <v>7</v>
      </c>
      <c r="D285" s="2">
        <v>116</v>
      </c>
      <c r="E285" s="3" t="s">
        <v>13</v>
      </c>
      <c r="F285" s="6">
        <v>45012</v>
      </c>
      <c r="G285" s="2">
        <v>63</v>
      </c>
      <c r="H285" s="9">
        <v>3.4</v>
      </c>
      <c r="I285">
        <f>ROUND(calls[[#This Row],[Satisfaction Rating]],0)</f>
        <v>3</v>
      </c>
      <c r="J285" t="str">
        <f>TEXT(calls[[#This Row],[Date of Call]],"DDDD")</f>
        <v>Monday</v>
      </c>
    </row>
    <row r="286" spans="2:10" x14ac:dyDescent="0.25">
      <c r="B286" s="8" t="s">
        <v>308</v>
      </c>
      <c r="C286" s="2" t="s">
        <v>15</v>
      </c>
      <c r="D286" s="2">
        <v>61</v>
      </c>
      <c r="E286" s="3" t="s">
        <v>11</v>
      </c>
      <c r="F286" s="6">
        <v>45012</v>
      </c>
      <c r="G286" s="2">
        <v>140</v>
      </c>
      <c r="H286" s="9">
        <v>1.8</v>
      </c>
      <c r="I286">
        <f>ROUND(calls[[#This Row],[Satisfaction Rating]],0)</f>
        <v>2</v>
      </c>
      <c r="J286" t="str">
        <f>TEXT(calls[[#This Row],[Date of Call]],"DDDD")</f>
        <v>Monday</v>
      </c>
    </row>
    <row r="287" spans="2:10" x14ac:dyDescent="0.25">
      <c r="B287" s="8" t="s">
        <v>309</v>
      </c>
      <c r="C287" s="2" t="s">
        <v>16</v>
      </c>
      <c r="D287" s="2">
        <v>126</v>
      </c>
      <c r="E287" s="3" t="s">
        <v>9</v>
      </c>
      <c r="F287" s="6">
        <v>45012</v>
      </c>
      <c r="G287" s="2">
        <v>128</v>
      </c>
      <c r="H287" s="9">
        <v>4.2</v>
      </c>
      <c r="I287">
        <f>ROUND(calls[[#This Row],[Satisfaction Rating]],0)</f>
        <v>4</v>
      </c>
      <c r="J287" t="str">
        <f>TEXT(calls[[#This Row],[Date of Call]],"DDDD")</f>
        <v>Monday</v>
      </c>
    </row>
    <row r="288" spans="2:10" x14ac:dyDescent="0.25">
      <c r="B288" s="8" t="s">
        <v>310</v>
      </c>
      <c r="C288" s="2" t="s">
        <v>24</v>
      </c>
      <c r="D288" s="2">
        <v>141</v>
      </c>
      <c r="E288" s="3" t="s">
        <v>6</v>
      </c>
      <c r="F288" s="6">
        <v>45012</v>
      </c>
      <c r="G288" s="2">
        <v>80</v>
      </c>
      <c r="H288" s="9">
        <v>4.4000000000000004</v>
      </c>
      <c r="I288">
        <f>ROUND(calls[[#This Row],[Satisfaction Rating]],0)</f>
        <v>4</v>
      </c>
      <c r="J288" t="str">
        <f>TEXT(calls[[#This Row],[Date of Call]],"DDDD")</f>
        <v>Monday</v>
      </c>
    </row>
    <row r="289" spans="2:10" x14ac:dyDescent="0.25">
      <c r="B289" s="8" t="s">
        <v>311</v>
      </c>
      <c r="C289" s="2" t="s">
        <v>8</v>
      </c>
      <c r="D289" s="2">
        <v>95</v>
      </c>
      <c r="E289" s="3" t="s">
        <v>13</v>
      </c>
      <c r="F289" s="6">
        <v>45012</v>
      </c>
      <c r="G289" s="2">
        <v>28</v>
      </c>
      <c r="H289" s="9">
        <v>2.7</v>
      </c>
      <c r="I289">
        <f>ROUND(calls[[#This Row],[Satisfaction Rating]],0)</f>
        <v>3</v>
      </c>
      <c r="J289" t="str">
        <f>TEXT(calls[[#This Row],[Date of Call]],"DDDD")</f>
        <v>Monday</v>
      </c>
    </row>
    <row r="290" spans="2:10" x14ac:dyDescent="0.25">
      <c r="B290" s="8" t="s">
        <v>312</v>
      </c>
      <c r="C290" s="2" t="s">
        <v>19</v>
      </c>
      <c r="D290" s="2">
        <v>39</v>
      </c>
      <c r="E290" s="3" t="s">
        <v>11</v>
      </c>
      <c r="F290" s="6">
        <v>45013</v>
      </c>
      <c r="G290" s="2">
        <v>81</v>
      </c>
      <c r="H290" s="9">
        <v>5</v>
      </c>
      <c r="I290">
        <f>ROUND(calls[[#This Row],[Satisfaction Rating]],0)</f>
        <v>5</v>
      </c>
      <c r="J290" t="str">
        <f>TEXT(calls[[#This Row],[Date of Call]],"DDDD")</f>
        <v>Tuesday</v>
      </c>
    </row>
    <row r="291" spans="2:10" x14ac:dyDescent="0.25">
      <c r="B291" s="8" t="s">
        <v>313</v>
      </c>
      <c r="C291" s="2" t="s">
        <v>12</v>
      </c>
      <c r="D291" s="2">
        <v>127</v>
      </c>
      <c r="E291" s="3" t="s">
        <v>9</v>
      </c>
      <c r="F291" s="6">
        <v>45013</v>
      </c>
      <c r="G291" s="2">
        <v>99</v>
      </c>
      <c r="H291" s="9">
        <v>3.9</v>
      </c>
      <c r="I291">
        <f>ROUND(calls[[#This Row],[Satisfaction Rating]],0)</f>
        <v>4</v>
      </c>
      <c r="J291" t="str">
        <f>TEXT(calls[[#This Row],[Date of Call]],"DDDD")</f>
        <v>Tuesday</v>
      </c>
    </row>
    <row r="292" spans="2:10" x14ac:dyDescent="0.25">
      <c r="B292" s="8" t="s">
        <v>314</v>
      </c>
      <c r="C292" s="2" t="s">
        <v>15</v>
      </c>
      <c r="D292" s="2">
        <v>78</v>
      </c>
      <c r="E292" s="3" t="s">
        <v>9</v>
      </c>
      <c r="F292" s="6">
        <v>45013</v>
      </c>
      <c r="G292" s="2">
        <v>43</v>
      </c>
      <c r="H292" s="9">
        <v>3.8</v>
      </c>
      <c r="I292">
        <f>ROUND(calls[[#This Row],[Satisfaction Rating]],0)</f>
        <v>4</v>
      </c>
      <c r="J292" t="str">
        <f>TEXT(calls[[#This Row],[Date of Call]],"DDDD")</f>
        <v>Tuesday</v>
      </c>
    </row>
    <row r="293" spans="2:10" x14ac:dyDescent="0.25">
      <c r="B293" s="8" t="s">
        <v>315</v>
      </c>
      <c r="C293" s="2" t="s">
        <v>14</v>
      </c>
      <c r="D293" s="2">
        <v>40</v>
      </c>
      <c r="E293" s="3" t="s">
        <v>9</v>
      </c>
      <c r="F293" s="6">
        <v>45013</v>
      </c>
      <c r="G293" s="2">
        <v>34</v>
      </c>
      <c r="H293" s="9">
        <v>4.5999999999999996</v>
      </c>
      <c r="I293">
        <f>ROUND(calls[[#This Row],[Satisfaction Rating]],0)</f>
        <v>5</v>
      </c>
      <c r="J293" t="str">
        <f>TEXT(calls[[#This Row],[Date of Call]],"DDDD")</f>
        <v>Tuesday</v>
      </c>
    </row>
    <row r="294" spans="2:10" x14ac:dyDescent="0.25">
      <c r="B294" s="8" t="s">
        <v>316</v>
      </c>
      <c r="C294" s="2" t="s">
        <v>15</v>
      </c>
      <c r="D294" s="2">
        <v>56</v>
      </c>
      <c r="E294" s="3" t="s">
        <v>11</v>
      </c>
      <c r="F294" s="6">
        <v>45013</v>
      </c>
      <c r="G294" s="2">
        <v>225</v>
      </c>
      <c r="H294" s="9">
        <v>4.5999999999999996</v>
      </c>
      <c r="I294">
        <f>ROUND(calls[[#This Row],[Satisfaction Rating]],0)</f>
        <v>5</v>
      </c>
      <c r="J294" t="str">
        <f>TEXT(calls[[#This Row],[Date of Call]],"DDDD")</f>
        <v>Tuesday</v>
      </c>
    </row>
    <row r="295" spans="2:10" x14ac:dyDescent="0.25">
      <c r="B295" s="8" t="s">
        <v>317</v>
      </c>
      <c r="C295" s="2" t="s">
        <v>19</v>
      </c>
      <c r="D295" s="2">
        <v>59</v>
      </c>
      <c r="E295" s="3" t="s">
        <v>6</v>
      </c>
      <c r="F295" s="6">
        <v>45013</v>
      </c>
      <c r="G295" s="2">
        <v>210</v>
      </c>
      <c r="H295" s="9">
        <v>4.5</v>
      </c>
      <c r="I295">
        <f>ROUND(calls[[#This Row],[Satisfaction Rating]],0)</f>
        <v>5</v>
      </c>
      <c r="J295" t="str">
        <f>TEXT(calls[[#This Row],[Date of Call]],"DDDD")</f>
        <v>Tuesday</v>
      </c>
    </row>
    <row r="296" spans="2:10" x14ac:dyDescent="0.25">
      <c r="B296" s="8" t="s">
        <v>318</v>
      </c>
      <c r="C296" s="2" t="s">
        <v>16</v>
      </c>
      <c r="D296" s="2">
        <v>30</v>
      </c>
      <c r="E296" s="3" t="s">
        <v>9</v>
      </c>
      <c r="F296" s="6">
        <v>45013</v>
      </c>
      <c r="G296" s="2">
        <v>168</v>
      </c>
      <c r="H296" s="9">
        <v>4.2</v>
      </c>
      <c r="I296">
        <f>ROUND(calls[[#This Row],[Satisfaction Rating]],0)</f>
        <v>4</v>
      </c>
      <c r="J296" t="str">
        <f>TEXT(calls[[#This Row],[Date of Call]],"DDDD")</f>
        <v>Tuesday</v>
      </c>
    </row>
    <row r="297" spans="2:10" x14ac:dyDescent="0.25">
      <c r="B297" s="8" t="s">
        <v>319</v>
      </c>
      <c r="C297" s="2" t="s">
        <v>14</v>
      </c>
      <c r="D297" s="2">
        <v>63</v>
      </c>
      <c r="E297" s="3" t="s">
        <v>10</v>
      </c>
      <c r="F297" s="6">
        <v>45014</v>
      </c>
      <c r="G297" s="2">
        <v>82</v>
      </c>
      <c r="H297" s="9">
        <v>4.5</v>
      </c>
      <c r="I297">
        <f>ROUND(calls[[#This Row],[Satisfaction Rating]],0)</f>
        <v>5</v>
      </c>
      <c r="J297" t="str">
        <f>TEXT(calls[[#This Row],[Date of Call]],"DDDD")</f>
        <v>Wednesday</v>
      </c>
    </row>
    <row r="298" spans="2:10" x14ac:dyDescent="0.25">
      <c r="B298" s="8" t="s">
        <v>320</v>
      </c>
      <c r="C298" s="2" t="s">
        <v>23</v>
      </c>
      <c r="D298" s="2">
        <v>56</v>
      </c>
      <c r="E298" s="3" t="s">
        <v>13</v>
      </c>
      <c r="F298" s="6">
        <v>45014</v>
      </c>
      <c r="G298" s="2">
        <v>88</v>
      </c>
      <c r="H298" s="9">
        <v>4.0999999999999996</v>
      </c>
      <c r="I298">
        <f>ROUND(calls[[#This Row],[Satisfaction Rating]],0)</f>
        <v>4</v>
      </c>
      <c r="J298" t="str">
        <f>TEXT(calls[[#This Row],[Date of Call]],"DDDD")</f>
        <v>Wednesday</v>
      </c>
    </row>
    <row r="299" spans="2:10" x14ac:dyDescent="0.25">
      <c r="B299" s="8" t="s">
        <v>321</v>
      </c>
      <c r="C299" s="2" t="s">
        <v>5</v>
      </c>
      <c r="D299" s="2">
        <v>95</v>
      </c>
      <c r="E299" s="3" t="s">
        <v>10</v>
      </c>
      <c r="F299" s="6">
        <v>45014</v>
      </c>
      <c r="G299" s="2">
        <v>111</v>
      </c>
      <c r="H299" s="9">
        <v>3.3</v>
      </c>
      <c r="I299">
        <f>ROUND(calls[[#This Row],[Satisfaction Rating]],0)</f>
        <v>3</v>
      </c>
      <c r="J299" t="str">
        <f>TEXT(calls[[#This Row],[Date of Call]],"DDDD")</f>
        <v>Wednesday</v>
      </c>
    </row>
    <row r="300" spans="2:10" x14ac:dyDescent="0.25">
      <c r="B300" s="8" t="s">
        <v>322</v>
      </c>
      <c r="C300" s="2" t="s">
        <v>17</v>
      </c>
      <c r="D300" s="2">
        <v>128</v>
      </c>
      <c r="E300" s="3" t="s">
        <v>6</v>
      </c>
      <c r="F300" s="6">
        <v>45014</v>
      </c>
      <c r="G300" s="2">
        <v>60</v>
      </c>
      <c r="H300" s="9">
        <v>3.8</v>
      </c>
      <c r="I300">
        <f>ROUND(calls[[#This Row],[Satisfaction Rating]],0)</f>
        <v>4</v>
      </c>
      <c r="J300" t="str">
        <f>TEXT(calls[[#This Row],[Date of Call]],"DDDD")</f>
        <v>Wednesday</v>
      </c>
    </row>
    <row r="301" spans="2:10" x14ac:dyDescent="0.25">
      <c r="B301" s="8" t="s">
        <v>323</v>
      </c>
      <c r="C301" s="2" t="s">
        <v>8</v>
      </c>
      <c r="D301" s="2">
        <v>49</v>
      </c>
      <c r="E301" s="3" t="s">
        <v>10</v>
      </c>
      <c r="F301" s="6">
        <v>45014</v>
      </c>
      <c r="G301" s="2">
        <v>80</v>
      </c>
      <c r="H301" s="9">
        <v>3</v>
      </c>
      <c r="I301">
        <f>ROUND(calls[[#This Row],[Satisfaction Rating]],0)</f>
        <v>3</v>
      </c>
      <c r="J301" t="str">
        <f>TEXT(calls[[#This Row],[Date of Call]],"DDDD")</f>
        <v>Wednesday</v>
      </c>
    </row>
    <row r="302" spans="2:10" x14ac:dyDescent="0.25">
      <c r="B302" s="8" t="s">
        <v>324</v>
      </c>
      <c r="C302" s="2" t="s">
        <v>17</v>
      </c>
      <c r="D302" s="2">
        <v>89</v>
      </c>
      <c r="E302" s="3" t="s">
        <v>11</v>
      </c>
      <c r="F302" s="6">
        <v>45016</v>
      </c>
      <c r="G302" s="2">
        <v>90</v>
      </c>
      <c r="H302" s="9">
        <v>4.5999999999999996</v>
      </c>
      <c r="I302">
        <f>ROUND(calls[[#This Row],[Satisfaction Rating]],0)</f>
        <v>5</v>
      </c>
      <c r="J302" t="str">
        <f>TEXT(calls[[#This Row],[Date of Call]],"DDDD")</f>
        <v>Friday</v>
      </c>
    </row>
    <row r="303" spans="2:10" x14ac:dyDescent="0.25">
      <c r="B303" s="8" t="s">
        <v>325</v>
      </c>
      <c r="C303" s="2" t="s">
        <v>22</v>
      </c>
      <c r="D303" s="2">
        <v>87</v>
      </c>
      <c r="E303" s="3" t="s">
        <v>10</v>
      </c>
      <c r="F303" s="6">
        <v>45016</v>
      </c>
      <c r="G303" s="2">
        <v>225</v>
      </c>
      <c r="H303" s="9">
        <v>2.9</v>
      </c>
      <c r="I303">
        <f>ROUND(calls[[#This Row],[Satisfaction Rating]],0)</f>
        <v>3</v>
      </c>
      <c r="J303" t="str">
        <f>TEXT(calls[[#This Row],[Date of Call]],"DDDD")</f>
        <v>Friday</v>
      </c>
    </row>
    <row r="304" spans="2:10" x14ac:dyDescent="0.25">
      <c r="B304" s="8" t="s">
        <v>326</v>
      </c>
      <c r="C304" s="2" t="s">
        <v>20</v>
      </c>
      <c r="D304" s="2">
        <v>60</v>
      </c>
      <c r="E304" s="3" t="s">
        <v>9</v>
      </c>
      <c r="F304" s="6">
        <v>45017</v>
      </c>
      <c r="G304" s="2">
        <v>215</v>
      </c>
      <c r="H304" s="9">
        <v>3.2</v>
      </c>
      <c r="I304">
        <f>ROUND(calls[[#This Row],[Satisfaction Rating]],0)</f>
        <v>3</v>
      </c>
      <c r="J304" t="str">
        <f>TEXT(calls[[#This Row],[Date of Call]],"DDDD")</f>
        <v>Saturday</v>
      </c>
    </row>
    <row r="305" spans="2:10" x14ac:dyDescent="0.25">
      <c r="B305" s="8" t="s">
        <v>327</v>
      </c>
      <c r="C305" s="2" t="s">
        <v>21</v>
      </c>
      <c r="D305" s="2">
        <v>42</v>
      </c>
      <c r="E305" s="3" t="s">
        <v>11</v>
      </c>
      <c r="F305" s="6">
        <v>45017</v>
      </c>
      <c r="G305" s="2">
        <v>45</v>
      </c>
      <c r="H305" s="9">
        <v>1.5</v>
      </c>
      <c r="I305">
        <f>ROUND(calls[[#This Row],[Satisfaction Rating]],0)</f>
        <v>2</v>
      </c>
      <c r="J305" t="str">
        <f>TEXT(calls[[#This Row],[Date of Call]],"DDDD")</f>
        <v>Saturday</v>
      </c>
    </row>
    <row r="306" spans="2:10" x14ac:dyDescent="0.25">
      <c r="B306" s="8" t="s">
        <v>328</v>
      </c>
      <c r="C306" s="2" t="s">
        <v>18</v>
      </c>
      <c r="D306" s="2">
        <v>99</v>
      </c>
      <c r="E306" s="3" t="s">
        <v>9</v>
      </c>
      <c r="F306" s="6">
        <v>45017</v>
      </c>
      <c r="G306" s="2">
        <v>74</v>
      </c>
      <c r="H306" s="9">
        <v>4</v>
      </c>
      <c r="I306">
        <f>ROUND(calls[[#This Row],[Satisfaction Rating]],0)</f>
        <v>4</v>
      </c>
      <c r="J306" t="str">
        <f>TEXT(calls[[#This Row],[Date of Call]],"DDDD")</f>
        <v>Saturday</v>
      </c>
    </row>
    <row r="307" spans="2:10" x14ac:dyDescent="0.25">
      <c r="B307" s="8" t="s">
        <v>329</v>
      </c>
      <c r="C307" s="2" t="s">
        <v>23</v>
      </c>
      <c r="D307" s="2">
        <v>20</v>
      </c>
      <c r="E307" s="3" t="s">
        <v>11</v>
      </c>
      <c r="F307" s="6">
        <v>45017</v>
      </c>
      <c r="G307" s="2">
        <v>60</v>
      </c>
      <c r="H307" s="9">
        <v>3.6</v>
      </c>
      <c r="I307">
        <f>ROUND(calls[[#This Row],[Satisfaction Rating]],0)</f>
        <v>4</v>
      </c>
      <c r="J307" t="str">
        <f>TEXT(calls[[#This Row],[Date of Call]],"DDDD")</f>
        <v>Saturday</v>
      </c>
    </row>
    <row r="308" spans="2:10" x14ac:dyDescent="0.25">
      <c r="B308" s="8" t="s">
        <v>330</v>
      </c>
      <c r="C308" s="2" t="s">
        <v>14</v>
      </c>
      <c r="D308" s="2">
        <v>65</v>
      </c>
      <c r="E308" s="3" t="s">
        <v>9</v>
      </c>
      <c r="F308" s="6">
        <v>45017</v>
      </c>
      <c r="G308" s="2">
        <v>64</v>
      </c>
      <c r="H308" s="9">
        <v>3.7</v>
      </c>
      <c r="I308">
        <f>ROUND(calls[[#This Row],[Satisfaction Rating]],0)</f>
        <v>4</v>
      </c>
      <c r="J308" t="str">
        <f>TEXT(calls[[#This Row],[Date of Call]],"DDDD")</f>
        <v>Saturday</v>
      </c>
    </row>
    <row r="309" spans="2:10" x14ac:dyDescent="0.25">
      <c r="B309" s="8" t="s">
        <v>331</v>
      </c>
      <c r="C309" s="2" t="s">
        <v>16</v>
      </c>
      <c r="D309" s="2">
        <v>71</v>
      </c>
      <c r="E309" s="3" t="s">
        <v>10</v>
      </c>
      <c r="F309" s="6">
        <v>45018</v>
      </c>
      <c r="G309" s="2">
        <v>110</v>
      </c>
      <c r="H309" s="9">
        <v>4.8</v>
      </c>
      <c r="I309">
        <f>ROUND(calls[[#This Row],[Satisfaction Rating]],0)</f>
        <v>5</v>
      </c>
      <c r="J309" t="str">
        <f>TEXT(calls[[#This Row],[Date of Call]],"DDDD")</f>
        <v>Sunday</v>
      </c>
    </row>
    <row r="310" spans="2:10" x14ac:dyDescent="0.25">
      <c r="B310" s="8" t="s">
        <v>332</v>
      </c>
      <c r="C310" s="2" t="s">
        <v>12</v>
      </c>
      <c r="D310" s="2">
        <v>95</v>
      </c>
      <c r="E310" s="3" t="s">
        <v>6</v>
      </c>
      <c r="F310" s="6">
        <v>45018</v>
      </c>
      <c r="G310" s="2">
        <v>52</v>
      </c>
      <c r="H310" s="9">
        <v>1.2</v>
      </c>
      <c r="I310">
        <f>ROUND(calls[[#This Row],[Satisfaction Rating]],0)</f>
        <v>1</v>
      </c>
      <c r="J310" t="str">
        <f>TEXT(calls[[#This Row],[Date of Call]],"DDDD")</f>
        <v>Sunday</v>
      </c>
    </row>
    <row r="311" spans="2:10" x14ac:dyDescent="0.25">
      <c r="B311" s="8" t="s">
        <v>333</v>
      </c>
      <c r="C311" s="2" t="s">
        <v>23</v>
      </c>
      <c r="D311" s="2">
        <v>81</v>
      </c>
      <c r="E311" s="3" t="s">
        <v>13</v>
      </c>
      <c r="F311" s="6">
        <v>45019</v>
      </c>
      <c r="G311" s="2">
        <v>160</v>
      </c>
      <c r="H311" s="9">
        <v>4.7</v>
      </c>
      <c r="I311">
        <f>ROUND(calls[[#This Row],[Satisfaction Rating]],0)</f>
        <v>5</v>
      </c>
      <c r="J311" t="str">
        <f>TEXT(calls[[#This Row],[Date of Call]],"DDDD")</f>
        <v>Monday</v>
      </c>
    </row>
    <row r="312" spans="2:10" x14ac:dyDescent="0.25">
      <c r="B312" s="8" t="s">
        <v>334</v>
      </c>
      <c r="C312" s="2" t="s">
        <v>7</v>
      </c>
      <c r="D312" s="2">
        <v>137</v>
      </c>
      <c r="E312" s="3" t="s">
        <v>13</v>
      </c>
      <c r="F312" s="6">
        <v>45019</v>
      </c>
      <c r="G312" s="2">
        <v>215</v>
      </c>
      <c r="H312" s="9">
        <v>4.7</v>
      </c>
      <c r="I312">
        <f>ROUND(calls[[#This Row],[Satisfaction Rating]],0)</f>
        <v>5</v>
      </c>
      <c r="J312" t="str">
        <f>TEXT(calls[[#This Row],[Date of Call]],"DDDD")</f>
        <v>Monday</v>
      </c>
    </row>
    <row r="313" spans="2:10" x14ac:dyDescent="0.25">
      <c r="B313" s="8" t="s">
        <v>335</v>
      </c>
      <c r="C313" s="2" t="s">
        <v>7</v>
      </c>
      <c r="D313" s="2">
        <v>40</v>
      </c>
      <c r="E313" s="3" t="s">
        <v>6</v>
      </c>
      <c r="F313" s="6">
        <v>45019</v>
      </c>
      <c r="G313" s="2">
        <v>220</v>
      </c>
      <c r="H313" s="9">
        <v>4.5</v>
      </c>
      <c r="I313">
        <f>ROUND(calls[[#This Row],[Satisfaction Rating]],0)</f>
        <v>5</v>
      </c>
      <c r="J313" t="str">
        <f>TEXT(calls[[#This Row],[Date of Call]],"DDDD")</f>
        <v>Monday</v>
      </c>
    </row>
    <row r="314" spans="2:10" x14ac:dyDescent="0.25">
      <c r="B314" s="8" t="s">
        <v>336</v>
      </c>
      <c r="C314" s="2" t="s">
        <v>18</v>
      </c>
      <c r="D314" s="2">
        <v>111</v>
      </c>
      <c r="E314" s="3" t="s">
        <v>9</v>
      </c>
      <c r="F314" s="6">
        <v>45020</v>
      </c>
      <c r="G314" s="2">
        <v>175</v>
      </c>
      <c r="H314" s="9">
        <v>3.5</v>
      </c>
      <c r="I314">
        <f>ROUND(calls[[#This Row],[Satisfaction Rating]],0)</f>
        <v>4</v>
      </c>
      <c r="J314" t="str">
        <f>TEXT(calls[[#This Row],[Date of Call]],"DDDD")</f>
        <v>Tuesday</v>
      </c>
    </row>
    <row r="315" spans="2:10" x14ac:dyDescent="0.25">
      <c r="B315" s="8" t="s">
        <v>337</v>
      </c>
      <c r="C315" s="2" t="s">
        <v>16</v>
      </c>
      <c r="D315" s="2">
        <v>106</v>
      </c>
      <c r="E315" s="3" t="s">
        <v>9</v>
      </c>
      <c r="F315" s="6">
        <v>45020</v>
      </c>
      <c r="G315" s="2">
        <v>145</v>
      </c>
      <c r="H315" s="9">
        <v>4.0999999999999996</v>
      </c>
      <c r="I315">
        <f>ROUND(calls[[#This Row],[Satisfaction Rating]],0)</f>
        <v>4</v>
      </c>
      <c r="J315" t="str">
        <f>TEXT(calls[[#This Row],[Date of Call]],"DDDD")</f>
        <v>Tuesday</v>
      </c>
    </row>
    <row r="316" spans="2:10" x14ac:dyDescent="0.25">
      <c r="B316" s="8" t="s">
        <v>338</v>
      </c>
      <c r="C316" s="2" t="s">
        <v>21</v>
      </c>
      <c r="D316" s="2">
        <v>133</v>
      </c>
      <c r="E316" s="3" t="s">
        <v>11</v>
      </c>
      <c r="F316" s="6">
        <v>45020</v>
      </c>
      <c r="G316" s="2">
        <v>72</v>
      </c>
      <c r="H316" s="9">
        <v>4.4000000000000004</v>
      </c>
      <c r="I316">
        <f>ROUND(calls[[#This Row],[Satisfaction Rating]],0)</f>
        <v>4</v>
      </c>
      <c r="J316" t="str">
        <f>TEXT(calls[[#This Row],[Date of Call]],"DDDD")</f>
        <v>Tuesday</v>
      </c>
    </row>
    <row r="317" spans="2:10" x14ac:dyDescent="0.25">
      <c r="B317" s="8" t="s">
        <v>339</v>
      </c>
      <c r="C317" s="2" t="s">
        <v>15</v>
      </c>
      <c r="D317" s="2">
        <v>38</v>
      </c>
      <c r="E317" s="3" t="s">
        <v>9</v>
      </c>
      <c r="F317" s="6">
        <v>45021</v>
      </c>
      <c r="G317" s="2">
        <v>81</v>
      </c>
      <c r="H317" s="9">
        <v>3.6</v>
      </c>
      <c r="I317">
        <f>ROUND(calls[[#This Row],[Satisfaction Rating]],0)</f>
        <v>4</v>
      </c>
      <c r="J317" t="str">
        <f>TEXT(calls[[#This Row],[Date of Call]],"DDDD")</f>
        <v>Wednesday</v>
      </c>
    </row>
    <row r="318" spans="2:10" x14ac:dyDescent="0.25">
      <c r="B318" s="8" t="s">
        <v>340</v>
      </c>
      <c r="C318" s="2" t="s">
        <v>19</v>
      </c>
      <c r="D318" s="2">
        <v>130</v>
      </c>
      <c r="E318" s="3" t="s">
        <v>6</v>
      </c>
      <c r="F318" s="6">
        <v>45021</v>
      </c>
      <c r="G318" s="2">
        <v>54</v>
      </c>
      <c r="H318" s="9">
        <v>4.0999999999999996</v>
      </c>
      <c r="I318">
        <f>ROUND(calls[[#This Row],[Satisfaction Rating]],0)</f>
        <v>4</v>
      </c>
      <c r="J318" t="str">
        <f>TEXT(calls[[#This Row],[Date of Call]],"DDDD")</f>
        <v>Wednesday</v>
      </c>
    </row>
    <row r="319" spans="2:10" x14ac:dyDescent="0.25">
      <c r="B319" s="8" t="s">
        <v>341</v>
      </c>
      <c r="C319" s="2" t="s">
        <v>14</v>
      </c>
      <c r="D319" s="2">
        <v>23</v>
      </c>
      <c r="E319" s="3" t="s">
        <v>11</v>
      </c>
      <c r="F319" s="6">
        <v>45021</v>
      </c>
      <c r="G319" s="2">
        <v>105</v>
      </c>
      <c r="H319" s="9">
        <v>4.8</v>
      </c>
      <c r="I319">
        <f>ROUND(calls[[#This Row],[Satisfaction Rating]],0)</f>
        <v>5</v>
      </c>
      <c r="J319" t="str">
        <f>TEXT(calls[[#This Row],[Date of Call]],"DDDD")</f>
        <v>Wednesday</v>
      </c>
    </row>
    <row r="320" spans="2:10" x14ac:dyDescent="0.25">
      <c r="B320" s="8" t="s">
        <v>342</v>
      </c>
      <c r="C320" s="2" t="s">
        <v>19</v>
      </c>
      <c r="D320" s="2">
        <v>124</v>
      </c>
      <c r="E320" s="3" t="s">
        <v>9</v>
      </c>
      <c r="F320" s="6">
        <v>45022</v>
      </c>
      <c r="G320" s="2">
        <v>176</v>
      </c>
      <c r="H320" s="9">
        <v>3.9</v>
      </c>
      <c r="I320">
        <f>ROUND(calls[[#This Row],[Satisfaction Rating]],0)</f>
        <v>4</v>
      </c>
      <c r="J320" t="str">
        <f>TEXT(calls[[#This Row],[Date of Call]],"DDDD")</f>
        <v>Thursday</v>
      </c>
    </row>
    <row r="321" spans="2:10" x14ac:dyDescent="0.25">
      <c r="B321" s="8" t="s">
        <v>343</v>
      </c>
      <c r="C321" s="2" t="s">
        <v>23</v>
      </c>
      <c r="D321" s="2">
        <v>107</v>
      </c>
      <c r="E321" s="3" t="s">
        <v>9</v>
      </c>
      <c r="F321" s="6">
        <v>45022</v>
      </c>
      <c r="G321" s="2">
        <v>115</v>
      </c>
      <c r="H321" s="9">
        <v>3.8</v>
      </c>
      <c r="I321">
        <f>ROUND(calls[[#This Row],[Satisfaction Rating]],0)</f>
        <v>4</v>
      </c>
      <c r="J321" t="str">
        <f>TEXT(calls[[#This Row],[Date of Call]],"DDDD")</f>
        <v>Thursday</v>
      </c>
    </row>
    <row r="322" spans="2:10" x14ac:dyDescent="0.25">
      <c r="B322" s="8" t="s">
        <v>344</v>
      </c>
      <c r="C322" s="2" t="s">
        <v>7</v>
      </c>
      <c r="D322" s="2">
        <v>60</v>
      </c>
      <c r="E322" s="3" t="s">
        <v>10</v>
      </c>
      <c r="F322" s="6">
        <v>45022</v>
      </c>
      <c r="G322" s="2">
        <v>116</v>
      </c>
      <c r="H322" s="9">
        <v>3.9</v>
      </c>
      <c r="I322">
        <f>ROUND(calls[[#This Row],[Satisfaction Rating]],0)</f>
        <v>4</v>
      </c>
      <c r="J322" t="str">
        <f>TEXT(calls[[#This Row],[Date of Call]],"DDDD")</f>
        <v>Thursday</v>
      </c>
    </row>
    <row r="323" spans="2:10" x14ac:dyDescent="0.25">
      <c r="B323" s="8" t="s">
        <v>345</v>
      </c>
      <c r="C323" s="2" t="s">
        <v>7</v>
      </c>
      <c r="D323" s="2">
        <v>158</v>
      </c>
      <c r="E323" s="3" t="s">
        <v>6</v>
      </c>
      <c r="F323" s="6">
        <v>45022</v>
      </c>
      <c r="G323" s="2">
        <v>100</v>
      </c>
      <c r="H323" s="9">
        <v>4.0999999999999996</v>
      </c>
      <c r="I323">
        <f>ROUND(calls[[#This Row],[Satisfaction Rating]],0)</f>
        <v>4</v>
      </c>
      <c r="J323" t="str">
        <f>TEXT(calls[[#This Row],[Date of Call]],"DDDD")</f>
        <v>Thursday</v>
      </c>
    </row>
    <row r="324" spans="2:10" x14ac:dyDescent="0.25">
      <c r="B324" s="8" t="s">
        <v>346</v>
      </c>
      <c r="C324" s="2" t="s">
        <v>22</v>
      </c>
      <c r="D324" s="2">
        <v>110</v>
      </c>
      <c r="E324" s="3" t="s">
        <v>6</v>
      </c>
      <c r="F324" s="6">
        <v>45023</v>
      </c>
      <c r="G324" s="2">
        <v>36</v>
      </c>
      <c r="H324" s="9">
        <v>2.2000000000000002</v>
      </c>
      <c r="I324">
        <f>ROUND(calls[[#This Row],[Satisfaction Rating]],0)</f>
        <v>2</v>
      </c>
      <c r="J324" t="str">
        <f>TEXT(calls[[#This Row],[Date of Call]],"DDDD")</f>
        <v>Friday</v>
      </c>
    </row>
    <row r="325" spans="2:10" x14ac:dyDescent="0.25">
      <c r="B325" s="8" t="s">
        <v>347</v>
      </c>
      <c r="C325" s="2" t="s">
        <v>17</v>
      </c>
      <c r="D325" s="2">
        <v>70</v>
      </c>
      <c r="E325" s="3" t="s">
        <v>6</v>
      </c>
      <c r="F325" s="6">
        <v>45023</v>
      </c>
      <c r="G325" s="2">
        <v>114</v>
      </c>
      <c r="H325" s="9">
        <v>5</v>
      </c>
      <c r="I325">
        <f>ROUND(calls[[#This Row],[Satisfaction Rating]],0)</f>
        <v>5</v>
      </c>
      <c r="J325" t="str">
        <f>TEXT(calls[[#This Row],[Date of Call]],"DDDD")</f>
        <v>Friday</v>
      </c>
    </row>
    <row r="326" spans="2:10" x14ac:dyDescent="0.25">
      <c r="B326" s="8" t="s">
        <v>348</v>
      </c>
      <c r="C326" s="2" t="s">
        <v>17</v>
      </c>
      <c r="D326" s="2">
        <v>150</v>
      </c>
      <c r="E326" s="3" t="s">
        <v>10</v>
      </c>
      <c r="F326" s="6">
        <v>45023</v>
      </c>
      <c r="G326" s="2">
        <v>24</v>
      </c>
      <c r="H326" s="9">
        <v>3.8</v>
      </c>
      <c r="I326">
        <f>ROUND(calls[[#This Row],[Satisfaction Rating]],0)</f>
        <v>4</v>
      </c>
      <c r="J326" t="str">
        <f>TEXT(calls[[#This Row],[Date of Call]],"DDDD")</f>
        <v>Friday</v>
      </c>
    </row>
    <row r="327" spans="2:10" x14ac:dyDescent="0.25">
      <c r="B327" s="8" t="s">
        <v>349</v>
      </c>
      <c r="C327" s="2" t="s">
        <v>15</v>
      </c>
      <c r="D327" s="2">
        <v>36</v>
      </c>
      <c r="E327" s="3" t="s">
        <v>9</v>
      </c>
      <c r="F327" s="6">
        <v>45023</v>
      </c>
      <c r="G327" s="2">
        <v>135</v>
      </c>
      <c r="H327" s="9">
        <v>4.5999999999999996</v>
      </c>
      <c r="I327">
        <f>ROUND(calls[[#This Row],[Satisfaction Rating]],0)</f>
        <v>5</v>
      </c>
      <c r="J327" t="str">
        <f>TEXT(calls[[#This Row],[Date of Call]],"DDDD")</f>
        <v>Friday</v>
      </c>
    </row>
    <row r="328" spans="2:10" x14ac:dyDescent="0.25">
      <c r="B328" s="8" t="s">
        <v>350</v>
      </c>
      <c r="C328" s="2" t="s">
        <v>19</v>
      </c>
      <c r="D328" s="2">
        <v>74</v>
      </c>
      <c r="E328" s="3" t="s">
        <v>9</v>
      </c>
      <c r="F328" s="6">
        <v>45023</v>
      </c>
      <c r="G328" s="2">
        <v>30</v>
      </c>
      <c r="H328" s="9">
        <v>4</v>
      </c>
      <c r="I328">
        <f>ROUND(calls[[#This Row],[Satisfaction Rating]],0)</f>
        <v>4</v>
      </c>
      <c r="J328" t="str">
        <f>TEXT(calls[[#This Row],[Date of Call]],"DDDD")</f>
        <v>Friday</v>
      </c>
    </row>
    <row r="329" spans="2:10" x14ac:dyDescent="0.25">
      <c r="B329" s="8" t="s">
        <v>351</v>
      </c>
      <c r="C329" s="2" t="s">
        <v>12</v>
      </c>
      <c r="D329" s="2">
        <v>75</v>
      </c>
      <c r="E329" s="3" t="s">
        <v>9</v>
      </c>
      <c r="F329" s="6">
        <v>45023</v>
      </c>
      <c r="G329" s="2">
        <v>84</v>
      </c>
      <c r="H329" s="9">
        <v>2.8</v>
      </c>
      <c r="I329">
        <f>ROUND(calls[[#This Row],[Satisfaction Rating]],0)</f>
        <v>3</v>
      </c>
      <c r="J329" t="str">
        <f>TEXT(calls[[#This Row],[Date of Call]],"DDDD")</f>
        <v>Friday</v>
      </c>
    </row>
    <row r="330" spans="2:10" x14ac:dyDescent="0.25">
      <c r="B330" s="8" t="s">
        <v>352</v>
      </c>
      <c r="C330" s="2" t="s">
        <v>5</v>
      </c>
      <c r="D330" s="2">
        <v>70</v>
      </c>
      <c r="E330" s="3" t="s">
        <v>13</v>
      </c>
      <c r="F330" s="6">
        <v>45023</v>
      </c>
      <c r="G330" s="2">
        <v>42</v>
      </c>
      <c r="H330" s="9">
        <v>4.4000000000000004</v>
      </c>
      <c r="I330">
        <f>ROUND(calls[[#This Row],[Satisfaction Rating]],0)</f>
        <v>4</v>
      </c>
      <c r="J330" t="str">
        <f>TEXT(calls[[#This Row],[Date of Call]],"DDDD")</f>
        <v>Friday</v>
      </c>
    </row>
    <row r="331" spans="2:10" x14ac:dyDescent="0.25">
      <c r="B331" s="8" t="s">
        <v>353</v>
      </c>
      <c r="C331" s="2" t="s">
        <v>22</v>
      </c>
      <c r="D331" s="2">
        <v>23</v>
      </c>
      <c r="E331" s="3" t="s">
        <v>6</v>
      </c>
      <c r="F331" s="6">
        <v>45023</v>
      </c>
      <c r="G331" s="2">
        <v>117</v>
      </c>
      <c r="H331" s="9">
        <v>2.4</v>
      </c>
      <c r="I331">
        <f>ROUND(calls[[#This Row],[Satisfaction Rating]],0)</f>
        <v>2</v>
      </c>
      <c r="J331" t="str">
        <f>TEXT(calls[[#This Row],[Date of Call]],"DDDD")</f>
        <v>Friday</v>
      </c>
    </row>
    <row r="332" spans="2:10" x14ac:dyDescent="0.25">
      <c r="B332" s="8" t="s">
        <v>354</v>
      </c>
      <c r="C332" s="2" t="s">
        <v>18</v>
      </c>
      <c r="D332" s="2">
        <v>104</v>
      </c>
      <c r="E332" s="3" t="s">
        <v>11</v>
      </c>
      <c r="F332" s="6">
        <v>45023</v>
      </c>
      <c r="G332" s="2">
        <v>164</v>
      </c>
      <c r="H332" s="9">
        <v>4</v>
      </c>
      <c r="I332">
        <f>ROUND(calls[[#This Row],[Satisfaction Rating]],0)</f>
        <v>4</v>
      </c>
      <c r="J332" t="str">
        <f>TEXT(calls[[#This Row],[Date of Call]],"DDDD")</f>
        <v>Friday</v>
      </c>
    </row>
    <row r="333" spans="2:10" x14ac:dyDescent="0.25">
      <c r="B333" s="8" t="s">
        <v>355</v>
      </c>
      <c r="C333" s="2" t="s">
        <v>17</v>
      </c>
      <c r="D333" s="2">
        <v>95</v>
      </c>
      <c r="E333" s="3" t="s">
        <v>13</v>
      </c>
      <c r="F333" s="6">
        <v>45024</v>
      </c>
      <c r="G333" s="2">
        <v>123</v>
      </c>
      <c r="H333" s="9">
        <v>4.4000000000000004</v>
      </c>
      <c r="I333">
        <f>ROUND(calls[[#This Row],[Satisfaction Rating]],0)</f>
        <v>4</v>
      </c>
      <c r="J333" t="str">
        <f>TEXT(calls[[#This Row],[Date of Call]],"DDDD")</f>
        <v>Saturday</v>
      </c>
    </row>
    <row r="334" spans="2:10" x14ac:dyDescent="0.25">
      <c r="B334" s="8" t="s">
        <v>356</v>
      </c>
      <c r="C334" s="2" t="s">
        <v>8</v>
      </c>
      <c r="D334" s="2">
        <v>49</v>
      </c>
      <c r="E334" s="3" t="s">
        <v>10</v>
      </c>
      <c r="F334" s="6">
        <v>45024</v>
      </c>
      <c r="G334" s="2">
        <v>172</v>
      </c>
      <c r="H334" s="9">
        <v>2.9</v>
      </c>
      <c r="I334">
        <f>ROUND(calls[[#This Row],[Satisfaction Rating]],0)</f>
        <v>3</v>
      </c>
      <c r="J334" t="str">
        <f>TEXT(calls[[#This Row],[Date of Call]],"DDDD")</f>
        <v>Saturday</v>
      </c>
    </row>
    <row r="335" spans="2:10" x14ac:dyDescent="0.25">
      <c r="B335" s="8" t="s">
        <v>357</v>
      </c>
      <c r="C335" s="2" t="s">
        <v>16</v>
      </c>
      <c r="D335" s="2">
        <v>8</v>
      </c>
      <c r="E335" s="3" t="s">
        <v>6</v>
      </c>
      <c r="F335" s="6">
        <v>45024</v>
      </c>
      <c r="G335" s="2">
        <v>20</v>
      </c>
      <c r="H335" s="9">
        <v>4.8</v>
      </c>
      <c r="I335">
        <f>ROUND(calls[[#This Row],[Satisfaction Rating]],0)</f>
        <v>5</v>
      </c>
      <c r="J335" t="str">
        <f>TEXT(calls[[#This Row],[Date of Call]],"DDDD")</f>
        <v>Saturday</v>
      </c>
    </row>
    <row r="336" spans="2:10" x14ac:dyDescent="0.25">
      <c r="B336" s="8" t="s">
        <v>358</v>
      </c>
      <c r="C336" s="2" t="s">
        <v>17</v>
      </c>
      <c r="D336" s="2">
        <v>157</v>
      </c>
      <c r="E336" s="3" t="s">
        <v>10</v>
      </c>
      <c r="F336" s="6">
        <v>45024</v>
      </c>
      <c r="G336" s="2">
        <v>72</v>
      </c>
      <c r="H336" s="9">
        <v>3.7</v>
      </c>
      <c r="I336">
        <f>ROUND(calls[[#This Row],[Satisfaction Rating]],0)</f>
        <v>4</v>
      </c>
      <c r="J336" t="str">
        <f>TEXT(calls[[#This Row],[Date of Call]],"DDDD")</f>
        <v>Saturday</v>
      </c>
    </row>
    <row r="337" spans="2:10" x14ac:dyDescent="0.25">
      <c r="B337" s="8" t="s">
        <v>359</v>
      </c>
      <c r="C337" s="2" t="s">
        <v>23</v>
      </c>
      <c r="D337" s="2">
        <v>74</v>
      </c>
      <c r="E337" s="3" t="s">
        <v>9</v>
      </c>
      <c r="F337" s="6">
        <v>45024</v>
      </c>
      <c r="G337" s="2">
        <v>32</v>
      </c>
      <c r="H337" s="9">
        <v>4.8</v>
      </c>
      <c r="I337">
        <f>ROUND(calls[[#This Row],[Satisfaction Rating]],0)</f>
        <v>5</v>
      </c>
      <c r="J337" t="str">
        <f>TEXT(calls[[#This Row],[Date of Call]],"DDDD")</f>
        <v>Saturday</v>
      </c>
    </row>
    <row r="338" spans="2:10" x14ac:dyDescent="0.25">
      <c r="B338" s="8" t="s">
        <v>360</v>
      </c>
      <c r="C338" s="2" t="s">
        <v>22</v>
      </c>
      <c r="D338" s="2">
        <v>72</v>
      </c>
      <c r="E338" s="3" t="s">
        <v>13</v>
      </c>
      <c r="F338" s="6">
        <v>45024</v>
      </c>
      <c r="G338" s="2">
        <v>140</v>
      </c>
      <c r="H338" s="9">
        <v>3.2</v>
      </c>
      <c r="I338">
        <f>ROUND(calls[[#This Row],[Satisfaction Rating]],0)</f>
        <v>3</v>
      </c>
      <c r="J338" t="str">
        <f>TEXT(calls[[#This Row],[Date of Call]],"DDDD")</f>
        <v>Saturday</v>
      </c>
    </row>
    <row r="339" spans="2:10" x14ac:dyDescent="0.25">
      <c r="B339" s="8" t="s">
        <v>361</v>
      </c>
      <c r="C339" s="2" t="s">
        <v>23</v>
      </c>
      <c r="D339" s="2">
        <v>79</v>
      </c>
      <c r="E339" s="3" t="s">
        <v>9</v>
      </c>
      <c r="F339" s="6">
        <v>45025</v>
      </c>
      <c r="G339" s="2">
        <v>120</v>
      </c>
      <c r="H339" s="9">
        <v>4.9000000000000004</v>
      </c>
      <c r="I339">
        <f>ROUND(calls[[#This Row],[Satisfaction Rating]],0)</f>
        <v>5</v>
      </c>
      <c r="J339" t="str">
        <f>TEXT(calls[[#This Row],[Date of Call]],"DDDD")</f>
        <v>Sunday</v>
      </c>
    </row>
    <row r="340" spans="2:10" x14ac:dyDescent="0.25">
      <c r="B340" s="8" t="s">
        <v>362</v>
      </c>
      <c r="C340" s="2" t="s">
        <v>19</v>
      </c>
      <c r="D340" s="2">
        <v>23</v>
      </c>
      <c r="E340" s="3" t="s">
        <v>9</v>
      </c>
      <c r="F340" s="6">
        <v>45025</v>
      </c>
      <c r="G340" s="2">
        <v>86</v>
      </c>
      <c r="H340" s="9">
        <v>2.2000000000000002</v>
      </c>
      <c r="I340">
        <f>ROUND(calls[[#This Row],[Satisfaction Rating]],0)</f>
        <v>2</v>
      </c>
      <c r="J340" t="str">
        <f>TEXT(calls[[#This Row],[Date of Call]],"DDDD")</f>
        <v>Sunday</v>
      </c>
    </row>
    <row r="341" spans="2:10" x14ac:dyDescent="0.25">
      <c r="B341" s="8" t="s">
        <v>363</v>
      </c>
      <c r="C341" s="2" t="s">
        <v>12</v>
      </c>
      <c r="D341" s="2">
        <v>69</v>
      </c>
      <c r="E341" s="3" t="s">
        <v>9</v>
      </c>
      <c r="F341" s="6">
        <v>45025</v>
      </c>
      <c r="G341" s="2">
        <v>132</v>
      </c>
      <c r="H341" s="9">
        <v>5</v>
      </c>
      <c r="I341">
        <f>ROUND(calls[[#This Row],[Satisfaction Rating]],0)</f>
        <v>5</v>
      </c>
      <c r="J341" t="str">
        <f>TEXT(calls[[#This Row],[Date of Call]],"DDDD")</f>
        <v>Sunday</v>
      </c>
    </row>
    <row r="342" spans="2:10" x14ac:dyDescent="0.25">
      <c r="B342" s="8" t="s">
        <v>364</v>
      </c>
      <c r="C342" s="2" t="s">
        <v>7</v>
      </c>
      <c r="D342" s="2">
        <v>64</v>
      </c>
      <c r="E342" s="3" t="s">
        <v>9</v>
      </c>
      <c r="F342" s="6">
        <v>45025</v>
      </c>
      <c r="G342" s="2">
        <v>80</v>
      </c>
      <c r="H342" s="9">
        <v>3.3</v>
      </c>
      <c r="I342">
        <f>ROUND(calls[[#This Row],[Satisfaction Rating]],0)</f>
        <v>3</v>
      </c>
      <c r="J342" t="str">
        <f>TEXT(calls[[#This Row],[Date of Call]],"DDDD")</f>
        <v>Sunday</v>
      </c>
    </row>
    <row r="343" spans="2:10" x14ac:dyDescent="0.25">
      <c r="B343" s="8" t="s">
        <v>365</v>
      </c>
      <c r="C343" s="2" t="s">
        <v>24</v>
      </c>
      <c r="D343" s="2">
        <v>47</v>
      </c>
      <c r="E343" s="3" t="s">
        <v>10</v>
      </c>
      <c r="F343" s="6">
        <v>45025</v>
      </c>
      <c r="G343" s="2">
        <v>132</v>
      </c>
      <c r="H343" s="9">
        <v>3.7</v>
      </c>
      <c r="I343">
        <f>ROUND(calls[[#This Row],[Satisfaction Rating]],0)</f>
        <v>4</v>
      </c>
      <c r="J343" t="str">
        <f>TEXT(calls[[#This Row],[Date of Call]],"DDDD")</f>
        <v>Sunday</v>
      </c>
    </row>
    <row r="344" spans="2:10" x14ac:dyDescent="0.25">
      <c r="B344" s="8" t="s">
        <v>366</v>
      </c>
      <c r="C344" s="2" t="s">
        <v>23</v>
      </c>
      <c r="D344" s="2">
        <v>55</v>
      </c>
      <c r="E344" s="3" t="s">
        <v>13</v>
      </c>
      <c r="F344" s="6">
        <v>45025</v>
      </c>
      <c r="G344" s="2">
        <v>27</v>
      </c>
      <c r="H344" s="9">
        <v>3.7</v>
      </c>
      <c r="I344">
        <f>ROUND(calls[[#This Row],[Satisfaction Rating]],0)</f>
        <v>4</v>
      </c>
      <c r="J344" t="str">
        <f>TEXT(calls[[#This Row],[Date of Call]],"DDDD")</f>
        <v>Sunday</v>
      </c>
    </row>
    <row r="345" spans="2:10" x14ac:dyDescent="0.25">
      <c r="B345" s="8" t="s">
        <v>367</v>
      </c>
      <c r="C345" s="2" t="s">
        <v>18</v>
      </c>
      <c r="D345" s="2">
        <v>104</v>
      </c>
      <c r="E345" s="3" t="s">
        <v>13</v>
      </c>
      <c r="F345" s="6">
        <v>45026</v>
      </c>
      <c r="G345" s="2">
        <v>68</v>
      </c>
      <c r="H345" s="9">
        <v>3.6</v>
      </c>
      <c r="I345">
        <f>ROUND(calls[[#This Row],[Satisfaction Rating]],0)</f>
        <v>4</v>
      </c>
      <c r="J345" t="str">
        <f>TEXT(calls[[#This Row],[Date of Call]],"DDDD")</f>
        <v>Monday</v>
      </c>
    </row>
    <row r="346" spans="2:10" x14ac:dyDescent="0.25">
      <c r="B346" s="8" t="s">
        <v>368</v>
      </c>
      <c r="C346" s="2" t="s">
        <v>24</v>
      </c>
      <c r="D346" s="2">
        <v>116</v>
      </c>
      <c r="E346" s="3" t="s">
        <v>9</v>
      </c>
      <c r="F346" s="6">
        <v>45026</v>
      </c>
      <c r="G346" s="2">
        <v>22</v>
      </c>
      <c r="H346" s="9">
        <v>4.7</v>
      </c>
      <c r="I346">
        <f>ROUND(calls[[#This Row],[Satisfaction Rating]],0)</f>
        <v>5</v>
      </c>
      <c r="J346" t="str">
        <f>TEXT(calls[[#This Row],[Date of Call]],"DDDD")</f>
        <v>Monday</v>
      </c>
    </row>
    <row r="347" spans="2:10" x14ac:dyDescent="0.25">
      <c r="B347" s="8" t="s">
        <v>369</v>
      </c>
      <c r="C347" s="2" t="s">
        <v>19</v>
      </c>
      <c r="D347" s="2">
        <v>99</v>
      </c>
      <c r="E347" s="3" t="s">
        <v>13</v>
      </c>
      <c r="F347" s="6">
        <v>45026</v>
      </c>
      <c r="G347" s="2">
        <v>42</v>
      </c>
      <c r="H347" s="9">
        <v>3.1</v>
      </c>
      <c r="I347">
        <f>ROUND(calls[[#This Row],[Satisfaction Rating]],0)</f>
        <v>3</v>
      </c>
      <c r="J347" t="str">
        <f>TEXT(calls[[#This Row],[Date of Call]],"DDDD")</f>
        <v>Monday</v>
      </c>
    </row>
    <row r="348" spans="2:10" x14ac:dyDescent="0.25">
      <c r="B348" s="8" t="s">
        <v>370</v>
      </c>
      <c r="C348" s="2" t="s">
        <v>18</v>
      </c>
      <c r="D348" s="2">
        <v>84</v>
      </c>
      <c r="E348" s="3" t="s">
        <v>13</v>
      </c>
      <c r="F348" s="6">
        <v>45027</v>
      </c>
      <c r="G348" s="2">
        <v>38</v>
      </c>
      <c r="H348" s="9">
        <v>3.3</v>
      </c>
      <c r="I348">
        <f>ROUND(calls[[#This Row],[Satisfaction Rating]],0)</f>
        <v>3</v>
      </c>
      <c r="J348" t="str">
        <f>TEXT(calls[[#This Row],[Date of Call]],"DDDD")</f>
        <v>Tuesday</v>
      </c>
    </row>
    <row r="349" spans="2:10" x14ac:dyDescent="0.25">
      <c r="B349" s="8" t="s">
        <v>371</v>
      </c>
      <c r="C349" s="2" t="s">
        <v>16</v>
      </c>
      <c r="D349" s="2">
        <v>159</v>
      </c>
      <c r="E349" s="3" t="s">
        <v>13</v>
      </c>
      <c r="F349" s="6">
        <v>45027</v>
      </c>
      <c r="G349" s="2">
        <v>42</v>
      </c>
      <c r="H349" s="9">
        <v>4.5</v>
      </c>
      <c r="I349">
        <f>ROUND(calls[[#This Row],[Satisfaction Rating]],0)</f>
        <v>5</v>
      </c>
      <c r="J349" t="str">
        <f>TEXT(calls[[#This Row],[Date of Call]],"DDDD")</f>
        <v>Tuesday</v>
      </c>
    </row>
    <row r="350" spans="2:10" x14ac:dyDescent="0.25">
      <c r="B350" s="8" t="s">
        <v>372</v>
      </c>
      <c r="C350" s="2" t="s">
        <v>15</v>
      </c>
      <c r="D350" s="2">
        <v>25</v>
      </c>
      <c r="E350" s="3" t="s">
        <v>10</v>
      </c>
      <c r="F350" s="6">
        <v>45027</v>
      </c>
      <c r="G350" s="2">
        <v>75</v>
      </c>
      <c r="H350" s="9">
        <v>3.9</v>
      </c>
      <c r="I350">
        <f>ROUND(calls[[#This Row],[Satisfaction Rating]],0)</f>
        <v>4</v>
      </c>
      <c r="J350" t="str">
        <f>TEXT(calls[[#This Row],[Date of Call]],"DDDD")</f>
        <v>Tuesday</v>
      </c>
    </row>
    <row r="351" spans="2:10" x14ac:dyDescent="0.25">
      <c r="B351" s="8" t="s">
        <v>373</v>
      </c>
      <c r="C351" s="2" t="s">
        <v>16</v>
      </c>
      <c r="D351" s="2">
        <v>53</v>
      </c>
      <c r="E351" s="3" t="s">
        <v>6</v>
      </c>
      <c r="F351" s="6">
        <v>45028</v>
      </c>
      <c r="G351" s="2">
        <v>23</v>
      </c>
      <c r="H351" s="9">
        <v>4.9000000000000004</v>
      </c>
      <c r="I351">
        <f>ROUND(calls[[#This Row],[Satisfaction Rating]],0)</f>
        <v>5</v>
      </c>
      <c r="J351" t="str">
        <f>TEXT(calls[[#This Row],[Date of Call]],"DDDD")</f>
        <v>Wednesday</v>
      </c>
    </row>
    <row r="352" spans="2:10" x14ac:dyDescent="0.25">
      <c r="B352" s="8" t="s">
        <v>374</v>
      </c>
      <c r="C352" s="2" t="s">
        <v>16</v>
      </c>
      <c r="D352" s="2">
        <v>89</v>
      </c>
      <c r="E352" s="3" t="s">
        <v>10</v>
      </c>
      <c r="F352" s="6">
        <v>45028</v>
      </c>
      <c r="G352" s="2">
        <v>200</v>
      </c>
      <c r="H352" s="9">
        <v>4.8</v>
      </c>
      <c r="I352">
        <f>ROUND(calls[[#This Row],[Satisfaction Rating]],0)</f>
        <v>5</v>
      </c>
      <c r="J352" t="str">
        <f>TEXT(calls[[#This Row],[Date of Call]],"DDDD")</f>
        <v>Wednesday</v>
      </c>
    </row>
    <row r="353" spans="2:10" x14ac:dyDescent="0.25">
      <c r="B353" s="8" t="s">
        <v>375</v>
      </c>
      <c r="C353" s="2" t="s">
        <v>21</v>
      </c>
      <c r="D353" s="2">
        <v>73</v>
      </c>
      <c r="E353" s="3" t="s">
        <v>9</v>
      </c>
      <c r="F353" s="6">
        <v>45029</v>
      </c>
      <c r="G353" s="2">
        <v>45</v>
      </c>
      <c r="H353" s="9">
        <v>3.6</v>
      </c>
      <c r="I353">
        <f>ROUND(calls[[#This Row],[Satisfaction Rating]],0)</f>
        <v>4</v>
      </c>
      <c r="J353" t="str">
        <f>TEXT(calls[[#This Row],[Date of Call]],"DDDD")</f>
        <v>Thursday</v>
      </c>
    </row>
    <row r="354" spans="2:10" x14ac:dyDescent="0.25">
      <c r="B354" s="8" t="s">
        <v>376</v>
      </c>
      <c r="C354" s="2" t="s">
        <v>19</v>
      </c>
      <c r="D354" s="2">
        <v>50</v>
      </c>
      <c r="E354" s="3" t="s">
        <v>9</v>
      </c>
      <c r="F354" s="6">
        <v>45029</v>
      </c>
      <c r="G354" s="2">
        <v>105</v>
      </c>
      <c r="H354" s="9">
        <v>3.5</v>
      </c>
      <c r="I354">
        <f>ROUND(calls[[#This Row],[Satisfaction Rating]],0)</f>
        <v>4</v>
      </c>
      <c r="J354" t="str">
        <f>TEXT(calls[[#This Row],[Date of Call]],"DDDD")</f>
        <v>Thursday</v>
      </c>
    </row>
    <row r="355" spans="2:10" x14ac:dyDescent="0.25">
      <c r="B355" s="8" t="s">
        <v>377</v>
      </c>
      <c r="C355" s="2" t="s">
        <v>8</v>
      </c>
      <c r="D355" s="2">
        <v>98</v>
      </c>
      <c r="E355" s="3" t="s">
        <v>9</v>
      </c>
      <c r="F355" s="6">
        <v>45029</v>
      </c>
      <c r="G355" s="2">
        <v>22</v>
      </c>
      <c r="H355" s="9">
        <v>3.8</v>
      </c>
      <c r="I355">
        <f>ROUND(calls[[#This Row],[Satisfaction Rating]],0)</f>
        <v>4</v>
      </c>
      <c r="J355" t="str">
        <f>TEXT(calls[[#This Row],[Date of Call]],"DDDD")</f>
        <v>Thursday</v>
      </c>
    </row>
    <row r="356" spans="2:10" x14ac:dyDescent="0.25">
      <c r="B356" s="8" t="s">
        <v>378</v>
      </c>
      <c r="C356" s="2" t="s">
        <v>14</v>
      </c>
      <c r="D356" s="2">
        <v>114</v>
      </c>
      <c r="E356" s="3" t="s">
        <v>13</v>
      </c>
      <c r="F356" s="6">
        <v>45030</v>
      </c>
      <c r="G356" s="2">
        <v>126</v>
      </c>
      <c r="H356" s="9">
        <v>4.4000000000000004</v>
      </c>
      <c r="I356">
        <f>ROUND(calls[[#This Row],[Satisfaction Rating]],0)</f>
        <v>4</v>
      </c>
      <c r="J356" t="str">
        <f>TEXT(calls[[#This Row],[Date of Call]],"DDDD")</f>
        <v>Friday</v>
      </c>
    </row>
    <row r="357" spans="2:10" x14ac:dyDescent="0.25">
      <c r="B357" s="8" t="s">
        <v>379</v>
      </c>
      <c r="C357" s="2" t="s">
        <v>7</v>
      </c>
      <c r="D357" s="2">
        <v>67</v>
      </c>
      <c r="E357" s="3" t="s">
        <v>13</v>
      </c>
      <c r="F357" s="6">
        <v>45030</v>
      </c>
      <c r="G357" s="2">
        <v>35</v>
      </c>
      <c r="H357" s="9">
        <v>3</v>
      </c>
      <c r="I357">
        <f>ROUND(calls[[#This Row],[Satisfaction Rating]],0)</f>
        <v>3</v>
      </c>
      <c r="J357" t="str">
        <f>TEXT(calls[[#This Row],[Date of Call]],"DDDD")</f>
        <v>Friday</v>
      </c>
    </row>
    <row r="358" spans="2:10" x14ac:dyDescent="0.25">
      <c r="B358" s="8" t="s">
        <v>380</v>
      </c>
      <c r="C358" s="2" t="s">
        <v>23</v>
      </c>
      <c r="D358" s="2">
        <v>91</v>
      </c>
      <c r="E358" s="3" t="s">
        <v>9</v>
      </c>
      <c r="F358" s="6">
        <v>45030</v>
      </c>
      <c r="G358" s="2">
        <v>84</v>
      </c>
      <c r="H358" s="9">
        <v>4.5</v>
      </c>
      <c r="I358">
        <f>ROUND(calls[[#This Row],[Satisfaction Rating]],0)</f>
        <v>5</v>
      </c>
      <c r="J358" t="str">
        <f>TEXT(calls[[#This Row],[Date of Call]],"DDDD")</f>
        <v>Friday</v>
      </c>
    </row>
    <row r="359" spans="2:10" x14ac:dyDescent="0.25">
      <c r="B359" s="8" t="s">
        <v>381</v>
      </c>
      <c r="C359" s="2" t="s">
        <v>5</v>
      </c>
      <c r="D359" s="2">
        <v>67</v>
      </c>
      <c r="E359" s="3" t="s">
        <v>9</v>
      </c>
      <c r="F359" s="6">
        <v>45031</v>
      </c>
      <c r="G359" s="2">
        <v>172</v>
      </c>
      <c r="H359" s="9">
        <v>4.5</v>
      </c>
      <c r="I359">
        <f>ROUND(calls[[#This Row],[Satisfaction Rating]],0)</f>
        <v>5</v>
      </c>
      <c r="J359" t="str">
        <f>TEXT(calls[[#This Row],[Date of Call]],"DDDD")</f>
        <v>Saturday</v>
      </c>
    </row>
    <row r="360" spans="2:10" x14ac:dyDescent="0.25">
      <c r="B360" s="8" t="s">
        <v>382</v>
      </c>
      <c r="C360" s="2" t="s">
        <v>14</v>
      </c>
      <c r="D360" s="2">
        <v>139</v>
      </c>
      <c r="E360" s="3" t="s">
        <v>10</v>
      </c>
      <c r="F360" s="6">
        <v>45031</v>
      </c>
      <c r="G360" s="2">
        <v>114</v>
      </c>
      <c r="H360" s="9">
        <v>4</v>
      </c>
      <c r="I360">
        <f>ROUND(calls[[#This Row],[Satisfaction Rating]],0)</f>
        <v>4</v>
      </c>
      <c r="J360" t="str">
        <f>TEXT(calls[[#This Row],[Date of Call]],"DDDD")</f>
        <v>Saturday</v>
      </c>
    </row>
    <row r="361" spans="2:10" x14ac:dyDescent="0.25">
      <c r="B361" s="8" t="s">
        <v>383</v>
      </c>
      <c r="C361" s="2" t="s">
        <v>5</v>
      </c>
      <c r="D361" s="2">
        <v>102</v>
      </c>
      <c r="E361" s="3" t="s">
        <v>10</v>
      </c>
      <c r="F361" s="6">
        <v>45031</v>
      </c>
      <c r="G361" s="2">
        <v>60</v>
      </c>
      <c r="H361" s="9">
        <v>3.8</v>
      </c>
      <c r="I361">
        <f>ROUND(calls[[#This Row],[Satisfaction Rating]],0)</f>
        <v>4</v>
      </c>
      <c r="J361" t="str">
        <f>TEXT(calls[[#This Row],[Date of Call]],"DDDD")</f>
        <v>Saturday</v>
      </c>
    </row>
    <row r="362" spans="2:10" x14ac:dyDescent="0.25">
      <c r="B362" s="8" t="s">
        <v>384</v>
      </c>
      <c r="C362" s="2" t="s">
        <v>17</v>
      </c>
      <c r="D362" s="2">
        <v>108</v>
      </c>
      <c r="E362" s="3" t="s">
        <v>11</v>
      </c>
      <c r="F362" s="6">
        <v>45031</v>
      </c>
      <c r="G362" s="2">
        <v>26</v>
      </c>
      <c r="H362" s="9">
        <v>3.3</v>
      </c>
      <c r="I362">
        <f>ROUND(calls[[#This Row],[Satisfaction Rating]],0)</f>
        <v>3</v>
      </c>
      <c r="J362" t="str">
        <f>TEXT(calls[[#This Row],[Date of Call]],"DDDD")</f>
        <v>Saturday</v>
      </c>
    </row>
    <row r="363" spans="2:10" x14ac:dyDescent="0.25">
      <c r="B363" s="8" t="s">
        <v>385</v>
      </c>
      <c r="C363" s="2" t="s">
        <v>15</v>
      </c>
      <c r="D363" s="2">
        <v>66</v>
      </c>
      <c r="E363" s="3" t="s">
        <v>9</v>
      </c>
      <c r="F363" s="6">
        <v>45031</v>
      </c>
      <c r="G363" s="2">
        <v>210</v>
      </c>
      <c r="H363" s="9">
        <v>4.3</v>
      </c>
      <c r="I363">
        <f>ROUND(calls[[#This Row],[Satisfaction Rating]],0)</f>
        <v>4</v>
      </c>
      <c r="J363" t="str">
        <f>TEXT(calls[[#This Row],[Date of Call]],"DDDD")</f>
        <v>Saturday</v>
      </c>
    </row>
    <row r="364" spans="2:10" x14ac:dyDescent="0.25">
      <c r="B364" s="8" t="s">
        <v>386</v>
      </c>
      <c r="C364" s="2" t="s">
        <v>22</v>
      </c>
      <c r="D364" s="2">
        <v>85</v>
      </c>
      <c r="E364" s="3" t="s">
        <v>10</v>
      </c>
      <c r="F364" s="6">
        <v>45031</v>
      </c>
      <c r="G364" s="2">
        <v>129</v>
      </c>
      <c r="H364" s="9">
        <v>4.2</v>
      </c>
      <c r="I364">
        <f>ROUND(calls[[#This Row],[Satisfaction Rating]],0)</f>
        <v>4</v>
      </c>
      <c r="J364" t="str">
        <f>TEXT(calls[[#This Row],[Date of Call]],"DDDD")</f>
        <v>Saturday</v>
      </c>
    </row>
    <row r="365" spans="2:10" x14ac:dyDescent="0.25">
      <c r="B365" s="8" t="s">
        <v>387</v>
      </c>
      <c r="C365" s="2" t="s">
        <v>7</v>
      </c>
      <c r="D365" s="2">
        <v>55</v>
      </c>
      <c r="E365" s="3" t="s">
        <v>11</v>
      </c>
      <c r="F365" s="6">
        <v>45031</v>
      </c>
      <c r="G365" s="2">
        <v>215</v>
      </c>
      <c r="H365" s="9">
        <v>4.3</v>
      </c>
      <c r="I365">
        <f>ROUND(calls[[#This Row],[Satisfaction Rating]],0)</f>
        <v>4</v>
      </c>
      <c r="J365" t="str">
        <f>TEXT(calls[[#This Row],[Date of Call]],"DDDD")</f>
        <v>Saturday</v>
      </c>
    </row>
    <row r="366" spans="2:10" x14ac:dyDescent="0.25">
      <c r="B366" s="8" t="s">
        <v>388</v>
      </c>
      <c r="C366" s="2" t="s">
        <v>17</v>
      </c>
      <c r="D366" s="2">
        <v>17</v>
      </c>
      <c r="E366" s="3" t="s">
        <v>6</v>
      </c>
      <c r="F366" s="6">
        <v>45031</v>
      </c>
      <c r="G366" s="2">
        <v>69</v>
      </c>
      <c r="H366" s="9">
        <v>4.5999999999999996</v>
      </c>
      <c r="I366">
        <f>ROUND(calls[[#This Row],[Satisfaction Rating]],0)</f>
        <v>5</v>
      </c>
      <c r="J366" t="str">
        <f>TEXT(calls[[#This Row],[Date of Call]],"DDDD")</f>
        <v>Saturday</v>
      </c>
    </row>
    <row r="367" spans="2:10" x14ac:dyDescent="0.25">
      <c r="B367" s="8" t="s">
        <v>389</v>
      </c>
      <c r="C367" s="2" t="s">
        <v>7</v>
      </c>
      <c r="D367" s="2">
        <v>128</v>
      </c>
      <c r="E367" s="3" t="s">
        <v>6</v>
      </c>
      <c r="F367" s="6">
        <v>45031</v>
      </c>
      <c r="G367" s="2">
        <v>140</v>
      </c>
      <c r="H367" s="9">
        <v>3</v>
      </c>
      <c r="I367">
        <f>ROUND(calls[[#This Row],[Satisfaction Rating]],0)</f>
        <v>3</v>
      </c>
      <c r="J367" t="str">
        <f>TEXT(calls[[#This Row],[Date of Call]],"DDDD")</f>
        <v>Saturday</v>
      </c>
    </row>
    <row r="368" spans="2:10" x14ac:dyDescent="0.25">
      <c r="B368" s="8" t="s">
        <v>390</v>
      </c>
      <c r="C368" s="2" t="s">
        <v>19</v>
      </c>
      <c r="D368" s="2">
        <v>45</v>
      </c>
      <c r="E368" s="3" t="s">
        <v>11</v>
      </c>
      <c r="F368" s="6">
        <v>45032</v>
      </c>
      <c r="G368" s="2">
        <v>156</v>
      </c>
      <c r="H368" s="9">
        <v>2.7</v>
      </c>
      <c r="I368">
        <f>ROUND(calls[[#This Row],[Satisfaction Rating]],0)</f>
        <v>3</v>
      </c>
      <c r="J368" t="str">
        <f>TEXT(calls[[#This Row],[Date of Call]],"DDDD")</f>
        <v>Sunday</v>
      </c>
    </row>
    <row r="369" spans="2:10" x14ac:dyDescent="0.25">
      <c r="B369" s="8" t="s">
        <v>391</v>
      </c>
      <c r="C369" s="2" t="s">
        <v>17</v>
      </c>
      <c r="D369" s="2">
        <v>41</v>
      </c>
      <c r="E369" s="3" t="s">
        <v>6</v>
      </c>
      <c r="F369" s="6">
        <v>45032</v>
      </c>
      <c r="G369" s="2">
        <v>164</v>
      </c>
      <c r="H369" s="9">
        <v>3.1</v>
      </c>
      <c r="I369">
        <f>ROUND(calls[[#This Row],[Satisfaction Rating]],0)</f>
        <v>3</v>
      </c>
      <c r="J369" t="str">
        <f>TEXT(calls[[#This Row],[Date of Call]],"DDDD")</f>
        <v>Sunday</v>
      </c>
    </row>
    <row r="370" spans="2:10" x14ac:dyDescent="0.25">
      <c r="B370" s="8" t="s">
        <v>392</v>
      </c>
      <c r="C370" s="2" t="s">
        <v>24</v>
      </c>
      <c r="D370" s="2">
        <v>49</v>
      </c>
      <c r="E370" s="3" t="s">
        <v>6</v>
      </c>
      <c r="F370" s="6">
        <v>45032</v>
      </c>
      <c r="G370" s="2">
        <v>195</v>
      </c>
      <c r="H370" s="9">
        <v>2.6</v>
      </c>
      <c r="I370">
        <f>ROUND(calls[[#This Row],[Satisfaction Rating]],0)</f>
        <v>3</v>
      </c>
      <c r="J370" t="str">
        <f>TEXT(calls[[#This Row],[Date of Call]],"DDDD")</f>
        <v>Sunday</v>
      </c>
    </row>
    <row r="371" spans="2:10" x14ac:dyDescent="0.25">
      <c r="B371" s="8" t="s">
        <v>393</v>
      </c>
      <c r="C371" s="2" t="s">
        <v>12</v>
      </c>
      <c r="D371" s="2">
        <v>21</v>
      </c>
      <c r="E371" s="3" t="s">
        <v>13</v>
      </c>
      <c r="F371" s="6">
        <v>45032</v>
      </c>
      <c r="G371" s="2">
        <v>74</v>
      </c>
      <c r="H371" s="9">
        <v>4.5999999999999996</v>
      </c>
      <c r="I371">
        <f>ROUND(calls[[#This Row],[Satisfaction Rating]],0)</f>
        <v>5</v>
      </c>
      <c r="J371" t="str">
        <f>TEXT(calls[[#This Row],[Date of Call]],"DDDD")</f>
        <v>Sunday</v>
      </c>
    </row>
    <row r="372" spans="2:10" x14ac:dyDescent="0.25">
      <c r="B372" s="8" t="s">
        <v>394</v>
      </c>
      <c r="C372" s="2" t="s">
        <v>16</v>
      </c>
      <c r="D372" s="2">
        <v>133</v>
      </c>
      <c r="E372" s="3" t="s">
        <v>11</v>
      </c>
      <c r="F372" s="6">
        <v>45032</v>
      </c>
      <c r="G372" s="2">
        <v>100</v>
      </c>
      <c r="H372" s="9">
        <v>4</v>
      </c>
      <c r="I372">
        <f>ROUND(calls[[#This Row],[Satisfaction Rating]],0)</f>
        <v>4</v>
      </c>
      <c r="J372" t="str">
        <f>TEXT(calls[[#This Row],[Date of Call]],"DDDD")</f>
        <v>Sunday</v>
      </c>
    </row>
    <row r="373" spans="2:10" x14ac:dyDescent="0.25">
      <c r="B373" s="8" t="s">
        <v>395</v>
      </c>
      <c r="C373" s="2" t="s">
        <v>20</v>
      </c>
      <c r="D373" s="2">
        <v>135</v>
      </c>
      <c r="E373" s="3" t="s">
        <v>9</v>
      </c>
      <c r="F373" s="6">
        <v>45032</v>
      </c>
      <c r="G373" s="2">
        <v>185</v>
      </c>
      <c r="H373" s="9">
        <v>4.5</v>
      </c>
      <c r="I373">
        <f>ROUND(calls[[#This Row],[Satisfaction Rating]],0)</f>
        <v>5</v>
      </c>
      <c r="J373" t="str">
        <f>TEXT(calls[[#This Row],[Date of Call]],"DDDD")</f>
        <v>Sunday</v>
      </c>
    </row>
    <row r="374" spans="2:10" x14ac:dyDescent="0.25">
      <c r="B374" s="8" t="s">
        <v>396</v>
      </c>
      <c r="C374" s="2" t="s">
        <v>14</v>
      </c>
      <c r="D374" s="2">
        <v>69</v>
      </c>
      <c r="E374" s="3" t="s">
        <v>11</v>
      </c>
      <c r="F374" s="6">
        <v>45032</v>
      </c>
      <c r="G374" s="2">
        <v>130</v>
      </c>
      <c r="H374" s="9">
        <v>1.9</v>
      </c>
      <c r="I374">
        <f>ROUND(calls[[#This Row],[Satisfaction Rating]],0)</f>
        <v>2</v>
      </c>
      <c r="J374" t="str">
        <f>TEXT(calls[[#This Row],[Date of Call]],"DDDD")</f>
        <v>Sunday</v>
      </c>
    </row>
    <row r="375" spans="2:10" x14ac:dyDescent="0.25">
      <c r="B375" s="8" t="s">
        <v>397</v>
      </c>
      <c r="C375" s="2" t="s">
        <v>18</v>
      </c>
      <c r="D375" s="2">
        <v>110</v>
      </c>
      <c r="E375" s="3" t="s">
        <v>13</v>
      </c>
      <c r="F375" s="6">
        <v>45033</v>
      </c>
      <c r="G375" s="2">
        <v>21</v>
      </c>
      <c r="H375" s="9">
        <v>2.6</v>
      </c>
      <c r="I375">
        <f>ROUND(calls[[#This Row],[Satisfaction Rating]],0)</f>
        <v>3</v>
      </c>
      <c r="J375" t="str">
        <f>TEXT(calls[[#This Row],[Date of Call]],"DDDD")</f>
        <v>Monday</v>
      </c>
    </row>
    <row r="376" spans="2:10" x14ac:dyDescent="0.25">
      <c r="B376" s="8" t="s">
        <v>398</v>
      </c>
      <c r="C376" s="2" t="s">
        <v>5</v>
      </c>
      <c r="D376" s="2">
        <v>64</v>
      </c>
      <c r="E376" s="3" t="s">
        <v>10</v>
      </c>
      <c r="F376" s="6">
        <v>45033</v>
      </c>
      <c r="G376" s="2">
        <v>88</v>
      </c>
      <c r="H376" s="9">
        <v>4.3</v>
      </c>
      <c r="I376">
        <f>ROUND(calls[[#This Row],[Satisfaction Rating]],0)</f>
        <v>4</v>
      </c>
      <c r="J376" t="str">
        <f>TEXT(calls[[#This Row],[Date of Call]],"DDDD")</f>
        <v>Monday</v>
      </c>
    </row>
    <row r="377" spans="2:10" x14ac:dyDescent="0.25">
      <c r="B377" s="8" t="s">
        <v>399</v>
      </c>
      <c r="C377" s="2" t="s">
        <v>23</v>
      </c>
      <c r="D377" s="2">
        <v>105</v>
      </c>
      <c r="E377" s="3" t="s">
        <v>6</v>
      </c>
      <c r="F377" s="6">
        <v>45033</v>
      </c>
      <c r="G377" s="2">
        <v>35</v>
      </c>
      <c r="H377" s="9">
        <v>4.4000000000000004</v>
      </c>
      <c r="I377">
        <f>ROUND(calls[[#This Row],[Satisfaction Rating]],0)</f>
        <v>4</v>
      </c>
      <c r="J377" t="str">
        <f>TEXT(calls[[#This Row],[Date of Call]],"DDDD")</f>
        <v>Monday</v>
      </c>
    </row>
    <row r="378" spans="2:10" x14ac:dyDescent="0.25">
      <c r="B378" s="8" t="s">
        <v>400</v>
      </c>
      <c r="C378" s="2" t="s">
        <v>5</v>
      </c>
      <c r="D378" s="2">
        <v>165</v>
      </c>
      <c r="E378" s="3" t="s">
        <v>9</v>
      </c>
      <c r="F378" s="6">
        <v>45033</v>
      </c>
      <c r="G378" s="2">
        <v>68</v>
      </c>
      <c r="H378" s="9">
        <v>4.3</v>
      </c>
      <c r="I378">
        <f>ROUND(calls[[#This Row],[Satisfaction Rating]],0)</f>
        <v>4</v>
      </c>
      <c r="J378" t="str">
        <f>TEXT(calls[[#This Row],[Date of Call]],"DDDD")</f>
        <v>Monday</v>
      </c>
    </row>
    <row r="379" spans="2:10" x14ac:dyDescent="0.25">
      <c r="B379" s="8" t="s">
        <v>401</v>
      </c>
      <c r="C379" s="2" t="s">
        <v>19</v>
      </c>
      <c r="D379" s="2">
        <v>125</v>
      </c>
      <c r="E379" s="3" t="s">
        <v>9</v>
      </c>
      <c r="F379" s="6">
        <v>45033</v>
      </c>
      <c r="G379" s="2">
        <v>148</v>
      </c>
      <c r="H379" s="9">
        <v>4.5</v>
      </c>
      <c r="I379">
        <f>ROUND(calls[[#This Row],[Satisfaction Rating]],0)</f>
        <v>5</v>
      </c>
      <c r="J379" t="str">
        <f>TEXT(calls[[#This Row],[Date of Call]],"DDDD")</f>
        <v>Monday</v>
      </c>
    </row>
    <row r="380" spans="2:10" x14ac:dyDescent="0.25">
      <c r="B380" s="8" t="s">
        <v>402</v>
      </c>
      <c r="C380" s="2" t="s">
        <v>23</v>
      </c>
      <c r="D380" s="2">
        <v>88</v>
      </c>
      <c r="E380" s="3" t="s">
        <v>10</v>
      </c>
      <c r="F380" s="6">
        <v>45034</v>
      </c>
      <c r="G380" s="2">
        <v>81</v>
      </c>
      <c r="H380" s="9">
        <v>4.2</v>
      </c>
      <c r="I380">
        <f>ROUND(calls[[#This Row],[Satisfaction Rating]],0)</f>
        <v>4</v>
      </c>
      <c r="J380" t="str">
        <f>TEXT(calls[[#This Row],[Date of Call]],"DDDD")</f>
        <v>Tuesday</v>
      </c>
    </row>
    <row r="381" spans="2:10" x14ac:dyDescent="0.25">
      <c r="B381" s="8" t="s">
        <v>403</v>
      </c>
      <c r="C381" s="2" t="s">
        <v>14</v>
      </c>
      <c r="D381" s="2">
        <v>6</v>
      </c>
      <c r="E381" s="3" t="s">
        <v>10</v>
      </c>
      <c r="F381" s="6">
        <v>45034</v>
      </c>
      <c r="G381" s="2">
        <v>75</v>
      </c>
      <c r="H381" s="9">
        <v>3.9</v>
      </c>
      <c r="I381">
        <f>ROUND(calls[[#This Row],[Satisfaction Rating]],0)</f>
        <v>4</v>
      </c>
      <c r="J381" t="str">
        <f>TEXT(calls[[#This Row],[Date of Call]],"DDDD")</f>
        <v>Tuesday</v>
      </c>
    </row>
    <row r="382" spans="2:10" x14ac:dyDescent="0.25">
      <c r="B382" s="8" t="s">
        <v>404</v>
      </c>
      <c r="C382" s="2" t="s">
        <v>22</v>
      </c>
      <c r="D382" s="2">
        <v>69</v>
      </c>
      <c r="E382" s="3" t="s">
        <v>11</v>
      </c>
      <c r="F382" s="6">
        <v>45035</v>
      </c>
      <c r="G382" s="2">
        <v>32</v>
      </c>
      <c r="H382" s="9">
        <v>3.6</v>
      </c>
      <c r="I382">
        <f>ROUND(calls[[#This Row],[Satisfaction Rating]],0)</f>
        <v>4</v>
      </c>
      <c r="J382" t="str">
        <f>TEXT(calls[[#This Row],[Date of Call]],"DDDD")</f>
        <v>Wednesday</v>
      </c>
    </row>
    <row r="383" spans="2:10" x14ac:dyDescent="0.25">
      <c r="B383" s="8" t="s">
        <v>405</v>
      </c>
      <c r="C383" s="2" t="s">
        <v>17</v>
      </c>
      <c r="D383" s="2">
        <v>107</v>
      </c>
      <c r="E383" s="3" t="s">
        <v>11</v>
      </c>
      <c r="F383" s="6">
        <v>45035</v>
      </c>
      <c r="G383" s="2">
        <v>156</v>
      </c>
      <c r="H383" s="9">
        <v>3.8</v>
      </c>
      <c r="I383">
        <f>ROUND(calls[[#This Row],[Satisfaction Rating]],0)</f>
        <v>4</v>
      </c>
      <c r="J383" t="str">
        <f>TEXT(calls[[#This Row],[Date of Call]],"DDDD")</f>
        <v>Wednesday</v>
      </c>
    </row>
    <row r="384" spans="2:10" x14ac:dyDescent="0.25">
      <c r="B384" s="8" t="s">
        <v>406</v>
      </c>
      <c r="C384" s="2" t="s">
        <v>12</v>
      </c>
      <c r="D384" s="2">
        <v>90</v>
      </c>
      <c r="E384" s="3" t="s">
        <v>9</v>
      </c>
      <c r="F384" s="6">
        <v>45035</v>
      </c>
      <c r="G384" s="2">
        <v>99</v>
      </c>
      <c r="H384" s="9">
        <v>4.9000000000000004</v>
      </c>
      <c r="I384">
        <f>ROUND(calls[[#This Row],[Satisfaction Rating]],0)</f>
        <v>5</v>
      </c>
      <c r="J384" t="str">
        <f>TEXT(calls[[#This Row],[Date of Call]],"DDDD")</f>
        <v>Wednesday</v>
      </c>
    </row>
    <row r="385" spans="2:10" x14ac:dyDescent="0.25">
      <c r="B385" s="8" t="s">
        <v>407</v>
      </c>
      <c r="C385" s="2" t="s">
        <v>20</v>
      </c>
      <c r="D385" s="2">
        <v>120</v>
      </c>
      <c r="E385" s="3" t="s">
        <v>6</v>
      </c>
      <c r="F385" s="6">
        <v>45035</v>
      </c>
      <c r="G385" s="2">
        <v>26</v>
      </c>
      <c r="H385" s="9">
        <v>4</v>
      </c>
      <c r="I385">
        <f>ROUND(calls[[#This Row],[Satisfaction Rating]],0)</f>
        <v>4</v>
      </c>
      <c r="J385" t="str">
        <f>TEXT(calls[[#This Row],[Date of Call]],"DDDD")</f>
        <v>Wednesday</v>
      </c>
    </row>
    <row r="386" spans="2:10" x14ac:dyDescent="0.25">
      <c r="B386" s="8" t="s">
        <v>408</v>
      </c>
      <c r="C386" s="2" t="s">
        <v>8</v>
      </c>
      <c r="D386" s="2">
        <v>47</v>
      </c>
      <c r="E386" s="3" t="s">
        <v>11</v>
      </c>
      <c r="F386" s="6">
        <v>45035</v>
      </c>
      <c r="G386" s="2">
        <v>84</v>
      </c>
      <c r="H386" s="9">
        <v>4.0999999999999996</v>
      </c>
      <c r="I386">
        <f>ROUND(calls[[#This Row],[Satisfaction Rating]],0)</f>
        <v>4</v>
      </c>
      <c r="J386" t="str">
        <f>TEXT(calls[[#This Row],[Date of Call]],"DDDD")</f>
        <v>Wednesday</v>
      </c>
    </row>
    <row r="387" spans="2:10" x14ac:dyDescent="0.25">
      <c r="B387" s="8" t="s">
        <v>409</v>
      </c>
      <c r="C387" s="2" t="s">
        <v>21</v>
      </c>
      <c r="D387" s="2">
        <v>60</v>
      </c>
      <c r="E387" s="3" t="s">
        <v>6</v>
      </c>
      <c r="F387" s="6">
        <v>45035</v>
      </c>
      <c r="G387" s="2">
        <v>84</v>
      </c>
      <c r="H387" s="9">
        <v>4.8</v>
      </c>
      <c r="I387">
        <f>ROUND(calls[[#This Row],[Satisfaction Rating]],0)</f>
        <v>5</v>
      </c>
      <c r="J387" t="str">
        <f>TEXT(calls[[#This Row],[Date of Call]],"DDDD")</f>
        <v>Wednesday</v>
      </c>
    </row>
    <row r="388" spans="2:10" x14ac:dyDescent="0.25">
      <c r="B388" s="8" t="s">
        <v>410</v>
      </c>
      <c r="C388" s="2" t="s">
        <v>7</v>
      </c>
      <c r="D388" s="2">
        <v>64</v>
      </c>
      <c r="E388" s="3" t="s">
        <v>9</v>
      </c>
      <c r="F388" s="6">
        <v>45035</v>
      </c>
      <c r="G388" s="2">
        <v>170</v>
      </c>
      <c r="H388" s="9">
        <v>2.2999999999999998</v>
      </c>
      <c r="I388">
        <f>ROUND(calls[[#This Row],[Satisfaction Rating]],0)</f>
        <v>2</v>
      </c>
      <c r="J388" t="str">
        <f>TEXT(calls[[#This Row],[Date of Call]],"DDDD")</f>
        <v>Wednesday</v>
      </c>
    </row>
    <row r="389" spans="2:10" x14ac:dyDescent="0.25">
      <c r="B389" s="8" t="s">
        <v>411</v>
      </c>
      <c r="C389" s="2" t="s">
        <v>5</v>
      </c>
      <c r="D389" s="2">
        <v>62</v>
      </c>
      <c r="E389" s="3" t="s">
        <v>11</v>
      </c>
      <c r="F389" s="6">
        <v>45035</v>
      </c>
      <c r="G389" s="2">
        <v>35</v>
      </c>
      <c r="H389" s="9">
        <v>4.4000000000000004</v>
      </c>
      <c r="I389">
        <f>ROUND(calls[[#This Row],[Satisfaction Rating]],0)</f>
        <v>4</v>
      </c>
      <c r="J389" t="str">
        <f>TEXT(calls[[#This Row],[Date of Call]],"DDDD")</f>
        <v>Wednesday</v>
      </c>
    </row>
    <row r="390" spans="2:10" x14ac:dyDescent="0.25">
      <c r="B390" s="8" t="s">
        <v>412</v>
      </c>
      <c r="C390" s="2" t="s">
        <v>18</v>
      </c>
      <c r="D390" s="2">
        <v>88</v>
      </c>
      <c r="E390" s="3" t="s">
        <v>11</v>
      </c>
      <c r="F390" s="6">
        <v>45036</v>
      </c>
      <c r="G390" s="2">
        <v>35</v>
      </c>
      <c r="H390" s="9">
        <v>3.8</v>
      </c>
      <c r="I390">
        <f>ROUND(calls[[#This Row],[Satisfaction Rating]],0)</f>
        <v>4</v>
      </c>
      <c r="J390" t="str">
        <f>TEXT(calls[[#This Row],[Date of Call]],"DDDD")</f>
        <v>Thursday</v>
      </c>
    </row>
    <row r="391" spans="2:10" x14ac:dyDescent="0.25">
      <c r="B391" s="8" t="s">
        <v>413</v>
      </c>
      <c r="C391" s="2" t="s">
        <v>19</v>
      </c>
      <c r="D391" s="2">
        <v>116</v>
      </c>
      <c r="E391" s="3" t="s">
        <v>11</v>
      </c>
      <c r="F391" s="6">
        <v>45036</v>
      </c>
      <c r="G391" s="2">
        <v>132</v>
      </c>
      <c r="H391" s="9">
        <v>5</v>
      </c>
      <c r="I391">
        <f>ROUND(calls[[#This Row],[Satisfaction Rating]],0)</f>
        <v>5</v>
      </c>
      <c r="J391" t="str">
        <f>TEXT(calls[[#This Row],[Date of Call]],"DDDD")</f>
        <v>Thursday</v>
      </c>
    </row>
    <row r="392" spans="2:10" x14ac:dyDescent="0.25">
      <c r="B392" s="8" t="s">
        <v>414</v>
      </c>
      <c r="C392" s="2" t="s">
        <v>12</v>
      </c>
      <c r="D392" s="2">
        <v>82</v>
      </c>
      <c r="E392" s="3" t="s">
        <v>10</v>
      </c>
      <c r="F392" s="6">
        <v>45037</v>
      </c>
      <c r="G392" s="2">
        <v>144</v>
      </c>
      <c r="H392" s="9">
        <v>3.3</v>
      </c>
      <c r="I392">
        <f>ROUND(calls[[#This Row],[Satisfaction Rating]],0)</f>
        <v>3</v>
      </c>
      <c r="J392" t="str">
        <f>TEXT(calls[[#This Row],[Date of Call]],"DDDD")</f>
        <v>Friday</v>
      </c>
    </row>
    <row r="393" spans="2:10" x14ac:dyDescent="0.25">
      <c r="B393" s="8" t="s">
        <v>415</v>
      </c>
      <c r="C393" s="2" t="s">
        <v>5</v>
      </c>
      <c r="D393" s="2">
        <v>99</v>
      </c>
      <c r="E393" s="3" t="s">
        <v>9</v>
      </c>
      <c r="F393" s="6">
        <v>45037</v>
      </c>
      <c r="G393" s="2">
        <v>48</v>
      </c>
      <c r="H393" s="9">
        <v>5</v>
      </c>
      <c r="I393">
        <f>ROUND(calls[[#This Row],[Satisfaction Rating]],0)</f>
        <v>5</v>
      </c>
      <c r="J393" t="str">
        <f>TEXT(calls[[#This Row],[Date of Call]],"DDDD")</f>
        <v>Friday</v>
      </c>
    </row>
    <row r="394" spans="2:10" x14ac:dyDescent="0.25">
      <c r="B394" s="8" t="s">
        <v>416</v>
      </c>
      <c r="C394" s="2" t="s">
        <v>5</v>
      </c>
      <c r="D394" s="2">
        <v>55</v>
      </c>
      <c r="E394" s="3" t="s">
        <v>10</v>
      </c>
      <c r="F394" s="6">
        <v>45037</v>
      </c>
      <c r="G394" s="2">
        <v>200</v>
      </c>
      <c r="H394" s="9">
        <v>2.2999999999999998</v>
      </c>
      <c r="I394">
        <f>ROUND(calls[[#This Row],[Satisfaction Rating]],0)</f>
        <v>2</v>
      </c>
      <c r="J394" t="str">
        <f>TEXT(calls[[#This Row],[Date of Call]],"DDDD")</f>
        <v>Friday</v>
      </c>
    </row>
    <row r="395" spans="2:10" x14ac:dyDescent="0.25">
      <c r="B395" s="8" t="s">
        <v>417</v>
      </c>
      <c r="C395" s="2" t="s">
        <v>7</v>
      </c>
      <c r="D395" s="2">
        <v>61</v>
      </c>
      <c r="E395" s="3" t="s">
        <v>6</v>
      </c>
      <c r="F395" s="6">
        <v>45037</v>
      </c>
      <c r="G395" s="2">
        <v>38</v>
      </c>
      <c r="H395" s="9">
        <v>4.8</v>
      </c>
      <c r="I395">
        <f>ROUND(calls[[#This Row],[Satisfaction Rating]],0)</f>
        <v>5</v>
      </c>
      <c r="J395" t="str">
        <f>TEXT(calls[[#This Row],[Date of Call]],"DDDD")</f>
        <v>Friday</v>
      </c>
    </row>
    <row r="396" spans="2:10" x14ac:dyDescent="0.25">
      <c r="B396" s="8" t="s">
        <v>418</v>
      </c>
      <c r="C396" s="2" t="s">
        <v>19</v>
      </c>
      <c r="D396" s="2">
        <v>36</v>
      </c>
      <c r="E396" s="3" t="s">
        <v>13</v>
      </c>
      <c r="F396" s="6">
        <v>45037</v>
      </c>
      <c r="G396" s="2">
        <v>81</v>
      </c>
      <c r="H396" s="9">
        <v>3.7</v>
      </c>
      <c r="I396">
        <f>ROUND(calls[[#This Row],[Satisfaction Rating]],0)</f>
        <v>4</v>
      </c>
      <c r="J396" t="str">
        <f>TEXT(calls[[#This Row],[Date of Call]],"DDDD")</f>
        <v>Friday</v>
      </c>
    </row>
    <row r="397" spans="2:10" x14ac:dyDescent="0.25">
      <c r="B397" s="8" t="s">
        <v>419</v>
      </c>
      <c r="C397" s="2" t="s">
        <v>12</v>
      </c>
      <c r="D397" s="2">
        <v>123</v>
      </c>
      <c r="E397" s="3" t="s">
        <v>11</v>
      </c>
      <c r="F397" s="6">
        <v>45037</v>
      </c>
      <c r="G397" s="2">
        <v>120</v>
      </c>
      <c r="H397" s="9">
        <v>4.2</v>
      </c>
      <c r="I397">
        <f>ROUND(calls[[#This Row],[Satisfaction Rating]],0)</f>
        <v>4</v>
      </c>
      <c r="J397" t="str">
        <f>TEXT(calls[[#This Row],[Date of Call]],"DDDD")</f>
        <v>Friday</v>
      </c>
    </row>
    <row r="398" spans="2:10" x14ac:dyDescent="0.25">
      <c r="B398" s="8" t="s">
        <v>420</v>
      </c>
      <c r="C398" s="2" t="s">
        <v>24</v>
      </c>
      <c r="D398" s="2">
        <v>24</v>
      </c>
      <c r="E398" s="3" t="s">
        <v>6</v>
      </c>
      <c r="F398" s="6">
        <v>45037</v>
      </c>
      <c r="G398" s="2">
        <v>74</v>
      </c>
      <c r="H398" s="9">
        <v>4.8</v>
      </c>
      <c r="I398">
        <f>ROUND(calls[[#This Row],[Satisfaction Rating]],0)</f>
        <v>5</v>
      </c>
      <c r="J398" t="str">
        <f>TEXT(calls[[#This Row],[Date of Call]],"DDDD")</f>
        <v>Friday</v>
      </c>
    </row>
    <row r="399" spans="2:10" x14ac:dyDescent="0.25">
      <c r="B399" s="8" t="s">
        <v>421</v>
      </c>
      <c r="C399" s="2" t="s">
        <v>12</v>
      </c>
      <c r="D399" s="2">
        <v>43</v>
      </c>
      <c r="E399" s="3" t="s">
        <v>11</v>
      </c>
      <c r="F399" s="6">
        <v>45038</v>
      </c>
      <c r="G399" s="2">
        <v>128</v>
      </c>
      <c r="H399" s="9">
        <v>4.7</v>
      </c>
      <c r="I399">
        <f>ROUND(calls[[#This Row],[Satisfaction Rating]],0)</f>
        <v>5</v>
      </c>
      <c r="J399" t="str">
        <f>TEXT(calls[[#This Row],[Date of Call]],"DDDD")</f>
        <v>Saturday</v>
      </c>
    </row>
    <row r="400" spans="2:10" x14ac:dyDescent="0.25">
      <c r="B400" s="8" t="s">
        <v>422</v>
      </c>
      <c r="C400" s="2" t="s">
        <v>21</v>
      </c>
      <c r="D400" s="2">
        <v>95</v>
      </c>
      <c r="E400" s="3" t="s">
        <v>9</v>
      </c>
      <c r="F400" s="6">
        <v>45038</v>
      </c>
      <c r="G400" s="2">
        <v>21</v>
      </c>
      <c r="H400" s="9">
        <v>3.9</v>
      </c>
      <c r="I400">
        <f>ROUND(calls[[#This Row],[Satisfaction Rating]],0)</f>
        <v>4</v>
      </c>
      <c r="J400" t="str">
        <f>TEXT(calls[[#This Row],[Date of Call]],"DDDD")</f>
        <v>Saturday</v>
      </c>
    </row>
    <row r="401" spans="2:10" x14ac:dyDescent="0.25">
      <c r="B401" s="8" t="s">
        <v>423</v>
      </c>
      <c r="C401" s="2" t="s">
        <v>5</v>
      </c>
      <c r="D401" s="2">
        <v>53</v>
      </c>
      <c r="E401" s="3" t="s">
        <v>11</v>
      </c>
      <c r="F401" s="6">
        <v>45038</v>
      </c>
      <c r="G401" s="2">
        <v>110</v>
      </c>
      <c r="H401" s="9">
        <v>4.3</v>
      </c>
      <c r="I401">
        <f>ROUND(calls[[#This Row],[Satisfaction Rating]],0)</f>
        <v>4</v>
      </c>
      <c r="J401" t="str">
        <f>TEXT(calls[[#This Row],[Date of Call]],"DDDD")</f>
        <v>Saturday</v>
      </c>
    </row>
    <row r="402" spans="2:10" x14ac:dyDescent="0.25">
      <c r="B402" s="8" t="s">
        <v>424</v>
      </c>
      <c r="C402" s="2" t="s">
        <v>12</v>
      </c>
      <c r="D402" s="2">
        <v>113</v>
      </c>
      <c r="E402" s="3" t="s">
        <v>11</v>
      </c>
      <c r="F402" s="6">
        <v>45038</v>
      </c>
      <c r="G402" s="2">
        <v>145</v>
      </c>
      <c r="H402" s="9">
        <v>4</v>
      </c>
      <c r="I402">
        <f>ROUND(calls[[#This Row],[Satisfaction Rating]],0)</f>
        <v>4</v>
      </c>
      <c r="J402" t="str">
        <f>TEXT(calls[[#This Row],[Date of Call]],"DDDD")</f>
        <v>Saturday</v>
      </c>
    </row>
    <row r="403" spans="2:10" x14ac:dyDescent="0.25">
      <c r="B403" s="8" t="s">
        <v>425</v>
      </c>
      <c r="C403" s="2" t="s">
        <v>5</v>
      </c>
      <c r="D403" s="2">
        <v>89</v>
      </c>
      <c r="E403" s="3" t="s">
        <v>13</v>
      </c>
      <c r="F403" s="6">
        <v>45038</v>
      </c>
      <c r="G403" s="2">
        <v>129</v>
      </c>
      <c r="H403" s="9">
        <v>4</v>
      </c>
      <c r="I403">
        <f>ROUND(calls[[#This Row],[Satisfaction Rating]],0)</f>
        <v>4</v>
      </c>
      <c r="J403" t="str">
        <f>TEXT(calls[[#This Row],[Date of Call]],"DDDD")</f>
        <v>Saturday</v>
      </c>
    </row>
    <row r="404" spans="2:10" x14ac:dyDescent="0.25">
      <c r="B404" s="8" t="s">
        <v>426</v>
      </c>
      <c r="C404" s="2" t="s">
        <v>18</v>
      </c>
      <c r="D404" s="2">
        <v>84</v>
      </c>
      <c r="E404" s="3" t="s">
        <v>10</v>
      </c>
      <c r="F404" s="6">
        <v>45038</v>
      </c>
      <c r="G404" s="2">
        <v>156</v>
      </c>
      <c r="H404" s="9">
        <v>3.2</v>
      </c>
      <c r="I404">
        <f>ROUND(calls[[#This Row],[Satisfaction Rating]],0)</f>
        <v>3</v>
      </c>
      <c r="J404" t="str">
        <f>TEXT(calls[[#This Row],[Date of Call]],"DDDD")</f>
        <v>Saturday</v>
      </c>
    </row>
    <row r="405" spans="2:10" x14ac:dyDescent="0.25">
      <c r="B405" s="8" t="s">
        <v>427</v>
      </c>
      <c r="C405" s="2" t="s">
        <v>24</v>
      </c>
      <c r="D405" s="2">
        <v>130</v>
      </c>
      <c r="E405" s="3" t="s">
        <v>11</v>
      </c>
      <c r="F405" s="6">
        <v>45039</v>
      </c>
      <c r="G405" s="2">
        <v>120</v>
      </c>
      <c r="H405" s="9">
        <v>3.8</v>
      </c>
      <c r="I405">
        <f>ROUND(calls[[#This Row],[Satisfaction Rating]],0)</f>
        <v>4</v>
      </c>
      <c r="J405" t="str">
        <f>TEXT(calls[[#This Row],[Date of Call]],"DDDD")</f>
        <v>Sunday</v>
      </c>
    </row>
    <row r="406" spans="2:10" x14ac:dyDescent="0.25">
      <c r="B406" s="8" t="s">
        <v>428</v>
      </c>
      <c r="C406" s="2" t="s">
        <v>21</v>
      </c>
      <c r="D406" s="2">
        <v>163</v>
      </c>
      <c r="E406" s="3" t="s">
        <v>13</v>
      </c>
      <c r="F406" s="6">
        <v>45039</v>
      </c>
      <c r="G406" s="2">
        <v>62</v>
      </c>
      <c r="H406" s="9">
        <v>3.4</v>
      </c>
      <c r="I406">
        <f>ROUND(calls[[#This Row],[Satisfaction Rating]],0)</f>
        <v>3</v>
      </c>
      <c r="J406" t="str">
        <f>TEXT(calls[[#This Row],[Date of Call]],"DDDD")</f>
        <v>Sunday</v>
      </c>
    </row>
    <row r="407" spans="2:10" x14ac:dyDescent="0.25">
      <c r="B407" s="8" t="s">
        <v>429</v>
      </c>
      <c r="C407" s="2" t="s">
        <v>22</v>
      </c>
      <c r="D407" s="2">
        <v>127</v>
      </c>
      <c r="E407" s="3" t="s">
        <v>11</v>
      </c>
      <c r="F407" s="6">
        <v>45039</v>
      </c>
      <c r="G407" s="2">
        <v>160</v>
      </c>
      <c r="H407" s="9">
        <v>3.2</v>
      </c>
      <c r="I407">
        <f>ROUND(calls[[#This Row],[Satisfaction Rating]],0)</f>
        <v>3</v>
      </c>
      <c r="J407" t="str">
        <f>TEXT(calls[[#This Row],[Date of Call]],"DDDD")</f>
        <v>Sunday</v>
      </c>
    </row>
    <row r="408" spans="2:10" x14ac:dyDescent="0.25">
      <c r="B408" s="8" t="s">
        <v>430</v>
      </c>
      <c r="C408" s="2" t="s">
        <v>12</v>
      </c>
      <c r="D408" s="2">
        <v>50</v>
      </c>
      <c r="E408" s="3" t="s">
        <v>11</v>
      </c>
      <c r="F408" s="6">
        <v>45039</v>
      </c>
      <c r="G408" s="2">
        <v>56</v>
      </c>
      <c r="H408" s="9">
        <v>4.7</v>
      </c>
      <c r="I408">
        <f>ROUND(calls[[#This Row],[Satisfaction Rating]],0)</f>
        <v>5</v>
      </c>
      <c r="J408" t="str">
        <f>TEXT(calls[[#This Row],[Date of Call]],"DDDD")</f>
        <v>Sunday</v>
      </c>
    </row>
    <row r="409" spans="2:10" x14ac:dyDescent="0.25">
      <c r="B409" s="8" t="s">
        <v>431</v>
      </c>
      <c r="C409" s="2" t="s">
        <v>15</v>
      </c>
      <c r="D409" s="2">
        <v>88</v>
      </c>
      <c r="E409" s="3" t="s">
        <v>6</v>
      </c>
      <c r="F409" s="6">
        <v>45039</v>
      </c>
      <c r="G409" s="2">
        <v>72</v>
      </c>
      <c r="H409" s="9">
        <v>4</v>
      </c>
      <c r="I409">
        <f>ROUND(calls[[#This Row],[Satisfaction Rating]],0)</f>
        <v>4</v>
      </c>
      <c r="J409" t="str">
        <f>TEXT(calls[[#This Row],[Date of Call]],"DDDD")</f>
        <v>Sunday</v>
      </c>
    </row>
    <row r="410" spans="2:10" x14ac:dyDescent="0.25">
      <c r="B410" s="8" t="s">
        <v>432</v>
      </c>
      <c r="C410" s="2" t="s">
        <v>12</v>
      </c>
      <c r="D410" s="2">
        <v>139</v>
      </c>
      <c r="E410" s="3" t="s">
        <v>9</v>
      </c>
      <c r="F410" s="6">
        <v>45040</v>
      </c>
      <c r="G410" s="2">
        <v>81</v>
      </c>
      <c r="H410" s="9">
        <v>4.8</v>
      </c>
      <c r="I410">
        <f>ROUND(calls[[#This Row],[Satisfaction Rating]],0)</f>
        <v>5</v>
      </c>
      <c r="J410" t="str">
        <f>TEXT(calls[[#This Row],[Date of Call]],"DDDD")</f>
        <v>Monday</v>
      </c>
    </row>
    <row r="411" spans="2:10" x14ac:dyDescent="0.25">
      <c r="B411" s="8" t="s">
        <v>433</v>
      </c>
      <c r="C411" s="2" t="s">
        <v>21</v>
      </c>
      <c r="D411" s="2">
        <v>111</v>
      </c>
      <c r="E411" s="3" t="s">
        <v>11</v>
      </c>
      <c r="F411" s="6">
        <v>45040</v>
      </c>
      <c r="G411" s="2">
        <v>144</v>
      </c>
      <c r="H411" s="9">
        <v>3.9</v>
      </c>
      <c r="I411">
        <f>ROUND(calls[[#This Row],[Satisfaction Rating]],0)</f>
        <v>4</v>
      </c>
      <c r="J411" t="str">
        <f>TEXT(calls[[#This Row],[Date of Call]],"DDDD")</f>
        <v>Monday</v>
      </c>
    </row>
    <row r="412" spans="2:10" x14ac:dyDescent="0.25">
      <c r="B412" s="8" t="s">
        <v>434</v>
      </c>
      <c r="C412" s="2" t="s">
        <v>23</v>
      </c>
      <c r="D412" s="2">
        <v>115</v>
      </c>
      <c r="E412" s="3" t="s">
        <v>9</v>
      </c>
      <c r="F412" s="6">
        <v>45040</v>
      </c>
      <c r="G412" s="2">
        <v>111</v>
      </c>
      <c r="H412" s="9">
        <v>4.3</v>
      </c>
      <c r="I412">
        <f>ROUND(calls[[#This Row],[Satisfaction Rating]],0)</f>
        <v>4</v>
      </c>
      <c r="J412" t="str">
        <f>TEXT(calls[[#This Row],[Date of Call]],"DDDD")</f>
        <v>Monday</v>
      </c>
    </row>
    <row r="413" spans="2:10" x14ac:dyDescent="0.25">
      <c r="B413" s="8" t="s">
        <v>435</v>
      </c>
      <c r="C413" s="2" t="s">
        <v>5</v>
      </c>
      <c r="D413" s="2">
        <v>26</v>
      </c>
      <c r="E413" s="3" t="s">
        <v>13</v>
      </c>
      <c r="F413" s="6">
        <v>45040</v>
      </c>
      <c r="G413" s="2">
        <v>43</v>
      </c>
      <c r="H413" s="9">
        <v>4.2</v>
      </c>
      <c r="I413">
        <f>ROUND(calls[[#This Row],[Satisfaction Rating]],0)</f>
        <v>4</v>
      </c>
      <c r="J413" t="str">
        <f>TEXT(calls[[#This Row],[Date of Call]],"DDDD")</f>
        <v>Monday</v>
      </c>
    </row>
    <row r="414" spans="2:10" x14ac:dyDescent="0.25">
      <c r="B414" s="8" t="s">
        <v>436</v>
      </c>
      <c r="C414" s="2" t="s">
        <v>18</v>
      </c>
      <c r="D414" s="2">
        <v>131</v>
      </c>
      <c r="E414" s="3" t="s">
        <v>6</v>
      </c>
      <c r="F414" s="6">
        <v>45040</v>
      </c>
      <c r="G414" s="2">
        <v>41</v>
      </c>
      <c r="H414" s="9">
        <v>4.9000000000000004</v>
      </c>
      <c r="I414">
        <f>ROUND(calls[[#This Row],[Satisfaction Rating]],0)</f>
        <v>5</v>
      </c>
      <c r="J414" t="str">
        <f>TEXT(calls[[#This Row],[Date of Call]],"DDDD")</f>
        <v>Monday</v>
      </c>
    </row>
    <row r="415" spans="2:10" x14ac:dyDescent="0.25">
      <c r="B415" s="8" t="s">
        <v>437</v>
      </c>
      <c r="C415" s="2" t="s">
        <v>23</v>
      </c>
      <c r="D415" s="2">
        <v>27</v>
      </c>
      <c r="E415" s="3" t="s">
        <v>6</v>
      </c>
      <c r="F415" s="6">
        <v>45040</v>
      </c>
      <c r="G415" s="2">
        <v>74</v>
      </c>
      <c r="H415" s="9">
        <v>4</v>
      </c>
      <c r="I415">
        <f>ROUND(calls[[#This Row],[Satisfaction Rating]],0)</f>
        <v>4</v>
      </c>
      <c r="J415" t="str">
        <f>TEXT(calls[[#This Row],[Date of Call]],"DDDD")</f>
        <v>Monday</v>
      </c>
    </row>
    <row r="416" spans="2:10" x14ac:dyDescent="0.25">
      <c r="B416" s="8" t="s">
        <v>438</v>
      </c>
      <c r="C416" s="2" t="s">
        <v>16</v>
      </c>
      <c r="D416" s="2">
        <v>75</v>
      </c>
      <c r="E416" s="3" t="s">
        <v>11</v>
      </c>
      <c r="F416" s="6">
        <v>45040</v>
      </c>
      <c r="G416" s="2">
        <v>43</v>
      </c>
      <c r="H416" s="9">
        <v>4.9000000000000004</v>
      </c>
      <c r="I416">
        <f>ROUND(calls[[#This Row],[Satisfaction Rating]],0)</f>
        <v>5</v>
      </c>
      <c r="J416" t="str">
        <f>TEXT(calls[[#This Row],[Date of Call]],"DDDD")</f>
        <v>Monday</v>
      </c>
    </row>
    <row r="417" spans="2:10" x14ac:dyDescent="0.25">
      <c r="B417" s="8" t="s">
        <v>439</v>
      </c>
      <c r="C417" s="2" t="s">
        <v>7</v>
      </c>
      <c r="D417" s="2">
        <v>123</v>
      </c>
      <c r="E417" s="3" t="s">
        <v>6</v>
      </c>
      <c r="F417" s="6">
        <v>45040</v>
      </c>
      <c r="G417" s="2">
        <v>128</v>
      </c>
      <c r="H417" s="9">
        <v>3.6</v>
      </c>
      <c r="I417">
        <f>ROUND(calls[[#This Row],[Satisfaction Rating]],0)</f>
        <v>4</v>
      </c>
      <c r="J417" t="str">
        <f>TEXT(calls[[#This Row],[Date of Call]],"DDDD")</f>
        <v>Monday</v>
      </c>
    </row>
    <row r="418" spans="2:10" x14ac:dyDescent="0.25">
      <c r="B418" s="8" t="s">
        <v>440</v>
      </c>
      <c r="C418" s="2" t="s">
        <v>20</v>
      </c>
      <c r="D418" s="2">
        <v>129</v>
      </c>
      <c r="E418" s="3" t="s">
        <v>6</v>
      </c>
      <c r="F418" s="6">
        <v>45041</v>
      </c>
      <c r="G418" s="2">
        <v>144</v>
      </c>
      <c r="H418" s="9">
        <v>4.0999999999999996</v>
      </c>
      <c r="I418">
        <f>ROUND(calls[[#This Row],[Satisfaction Rating]],0)</f>
        <v>4</v>
      </c>
      <c r="J418" t="str">
        <f>TEXT(calls[[#This Row],[Date of Call]],"DDDD")</f>
        <v>Tuesday</v>
      </c>
    </row>
    <row r="419" spans="2:10" x14ac:dyDescent="0.25">
      <c r="B419" s="8" t="s">
        <v>441</v>
      </c>
      <c r="C419" s="2" t="s">
        <v>16</v>
      </c>
      <c r="D419" s="2">
        <v>124</v>
      </c>
      <c r="E419" s="3" t="s">
        <v>9</v>
      </c>
      <c r="F419" s="6">
        <v>45041</v>
      </c>
      <c r="G419" s="2">
        <v>132</v>
      </c>
      <c r="H419" s="9">
        <v>4.9000000000000004</v>
      </c>
      <c r="I419">
        <f>ROUND(calls[[#This Row],[Satisfaction Rating]],0)</f>
        <v>5</v>
      </c>
      <c r="J419" t="str">
        <f>TEXT(calls[[#This Row],[Date of Call]],"DDDD")</f>
        <v>Tuesday</v>
      </c>
    </row>
    <row r="420" spans="2:10" x14ac:dyDescent="0.25">
      <c r="B420" s="8" t="s">
        <v>442</v>
      </c>
      <c r="C420" s="2" t="s">
        <v>23</v>
      </c>
      <c r="D420" s="2">
        <v>108</v>
      </c>
      <c r="E420" s="3" t="s">
        <v>9</v>
      </c>
      <c r="F420" s="6">
        <v>45041</v>
      </c>
      <c r="G420" s="2">
        <v>180</v>
      </c>
      <c r="H420" s="9">
        <v>3.9</v>
      </c>
      <c r="I420">
        <f>ROUND(calls[[#This Row],[Satisfaction Rating]],0)</f>
        <v>4</v>
      </c>
      <c r="J420" t="str">
        <f>TEXT(calls[[#This Row],[Date of Call]],"DDDD")</f>
        <v>Tuesday</v>
      </c>
    </row>
    <row r="421" spans="2:10" x14ac:dyDescent="0.25">
      <c r="B421" s="8" t="s">
        <v>443</v>
      </c>
      <c r="C421" s="2" t="s">
        <v>8</v>
      </c>
      <c r="D421" s="2">
        <v>15</v>
      </c>
      <c r="E421" s="3" t="s">
        <v>9</v>
      </c>
      <c r="F421" s="6">
        <v>45041</v>
      </c>
      <c r="G421" s="2">
        <v>31</v>
      </c>
      <c r="H421" s="9">
        <v>4.0999999999999996</v>
      </c>
      <c r="I421">
        <f>ROUND(calls[[#This Row],[Satisfaction Rating]],0)</f>
        <v>4</v>
      </c>
      <c r="J421" t="str">
        <f>TEXT(calls[[#This Row],[Date of Call]],"DDDD")</f>
        <v>Tuesday</v>
      </c>
    </row>
    <row r="422" spans="2:10" x14ac:dyDescent="0.25">
      <c r="B422" s="8" t="s">
        <v>444</v>
      </c>
      <c r="C422" s="2" t="s">
        <v>23</v>
      </c>
      <c r="D422" s="2">
        <v>66</v>
      </c>
      <c r="E422" s="3" t="s">
        <v>9</v>
      </c>
      <c r="F422" s="6">
        <v>45041</v>
      </c>
      <c r="G422" s="2">
        <v>102</v>
      </c>
      <c r="H422" s="9">
        <v>3.8</v>
      </c>
      <c r="I422">
        <f>ROUND(calls[[#This Row],[Satisfaction Rating]],0)</f>
        <v>4</v>
      </c>
      <c r="J422" t="str">
        <f>TEXT(calls[[#This Row],[Date of Call]],"DDDD")</f>
        <v>Tuesday</v>
      </c>
    </row>
    <row r="423" spans="2:10" x14ac:dyDescent="0.25">
      <c r="B423" s="8" t="s">
        <v>445</v>
      </c>
      <c r="C423" s="2" t="s">
        <v>15</v>
      </c>
      <c r="D423" s="2">
        <v>126</v>
      </c>
      <c r="E423" s="3" t="s">
        <v>11</v>
      </c>
      <c r="F423" s="6">
        <v>45042</v>
      </c>
      <c r="G423" s="2">
        <v>175</v>
      </c>
      <c r="H423" s="9">
        <v>4.8</v>
      </c>
      <c r="I423">
        <f>ROUND(calls[[#This Row],[Satisfaction Rating]],0)</f>
        <v>5</v>
      </c>
      <c r="J423" t="str">
        <f>TEXT(calls[[#This Row],[Date of Call]],"DDDD")</f>
        <v>Wednesday</v>
      </c>
    </row>
    <row r="424" spans="2:10" x14ac:dyDescent="0.25">
      <c r="B424" s="8" t="s">
        <v>446</v>
      </c>
      <c r="C424" s="2" t="s">
        <v>16</v>
      </c>
      <c r="D424" s="2">
        <v>26</v>
      </c>
      <c r="E424" s="3" t="s">
        <v>10</v>
      </c>
      <c r="F424" s="6">
        <v>45042</v>
      </c>
      <c r="G424" s="2">
        <v>87</v>
      </c>
      <c r="H424" s="9">
        <v>4.7</v>
      </c>
      <c r="I424">
        <f>ROUND(calls[[#This Row],[Satisfaction Rating]],0)</f>
        <v>5</v>
      </c>
      <c r="J424" t="str">
        <f>TEXT(calls[[#This Row],[Date of Call]],"DDDD")</f>
        <v>Wednesday</v>
      </c>
    </row>
    <row r="425" spans="2:10" x14ac:dyDescent="0.25">
      <c r="B425" s="8" t="s">
        <v>447</v>
      </c>
      <c r="C425" s="2" t="s">
        <v>24</v>
      </c>
      <c r="D425" s="2">
        <v>105</v>
      </c>
      <c r="E425" s="3" t="s">
        <v>11</v>
      </c>
      <c r="F425" s="6">
        <v>45042</v>
      </c>
      <c r="G425" s="2">
        <v>66</v>
      </c>
      <c r="H425" s="9">
        <v>4.2</v>
      </c>
      <c r="I425">
        <f>ROUND(calls[[#This Row],[Satisfaction Rating]],0)</f>
        <v>4</v>
      </c>
      <c r="J425" t="str">
        <f>TEXT(calls[[#This Row],[Date of Call]],"DDDD")</f>
        <v>Wednesday</v>
      </c>
    </row>
    <row r="426" spans="2:10" x14ac:dyDescent="0.25">
      <c r="B426" s="8" t="s">
        <v>448</v>
      </c>
      <c r="C426" s="2" t="s">
        <v>24</v>
      </c>
      <c r="D426" s="2">
        <v>31</v>
      </c>
      <c r="E426" s="3" t="s">
        <v>11</v>
      </c>
      <c r="F426" s="6">
        <v>45042</v>
      </c>
      <c r="G426" s="2">
        <v>25</v>
      </c>
      <c r="H426" s="9">
        <v>3.2</v>
      </c>
      <c r="I426">
        <f>ROUND(calls[[#This Row],[Satisfaction Rating]],0)</f>
        <v>3</v>
      </c>
      <c r="J426" t="str">
        <f>TEXT(calls[[#This Row],[Date of Call]],"DDDD")</f>
        <v>Wednesday</v>
      </c>
    </row>
    <row r="427" spans="2:10" x14ac:dyDescent="0.25">
      <c r="B427" s="8" t="s">
        <v>449</v>
      </c>
      <c r="C427" s="2" t="s">
        <v>23</v>
      </c>
      <c r="D427" s="2">
        <v>109</v>
      </c>
      <c r="E427" s="3" t="s">
        <v>9</v>
      </c>
      <c r="F427" s="6">
        <v>45042</v>
      </c>
      <c r="G427" s="2">
        <v>126</v>
      </c>
      <c r="H427" s="9">
        <v>3.4</v>
      </c>
      <c r="I427">
        <f>ROUND(calls[[#This Row],[Satisfaction Rating]],0)</f>
        <v>3</v>
      </c>
      <c r="J427" t="str">
        <f>TEXT(calls[[#This Row],[Date of Call]],"DDDD")</f>
        <v>Wednesday</v>
      </c>
    </row>
    <row r="428" spans="2:10" x14ac:dyDescent="0.25">
      <c r="B428" s="8" t="s">
        <v>450</v>
      </c>
      <c r="C428" s="2" t="s">
        <v>20</v>
      </c>
      <c r="D428" s="2">
        <v>113</v>
      </c>
      <c r="E428" s="3" t="s">
        <v>13</v>
      </c>
      <c r="F428" s="6">
        <v>45043</v>
      </c>
      <c r="G428" s="2">
        <v>42</v>
      </c>
      <c r="H428" s="9">
        <v>4.5999999999999996</v>
      </c>
      <c r="I428">
        <f>ROUND(calls[[#This Row],[Satisfaction Rating]],0)</f>
        <v>5</v>
      </c>
      <c r="J428" t="str">
        <f>TEXT(calls[[#This Row],[Date of Call]],"DDDD")</f>
        <v>Thursday</v>
      </c>
    </row>
    <row r="429" spans="2:10" x14ac:dyDescent="0.25">
      <c r="B429" s="8" t="s">
        <v>451</v>
      </c>
      <c r="C429" s="2" t="s">
        <v>15</v>
      </c>
      <c r="D429" s="2">
        <v>101</v>
      </c>
      <c r="E429" s="3" t="s">
        <v>10</v>
      </c>
      <c r="F429" s="6">
        <v>45043</v>
      </c>
      <c r="G429" s="2">
        <v>225</v>
      </c>
      <c r="H429" s="9">
        <v>1.9</v>
      </c>
      <c r="I429">
        <f>ROUND(calls[[#This Row],[Satisfaction Rating]],0)</f>
        <v>2</v>
      </c>
      <c r="J429" t="str">
        <f>TEXT(calls[[#This Row],[Date of Call]],"DDDD")</f>
        <v>Thursday</v>
      </c>
    </row>
    <row r="430" spans="2:10" x14ac:dyDescent="0.25">
      <c r="B430" s="8" t="s">
        <v>452</v>
      </c>
      <c r="C430" s="2" t="s">
        <v>21</v>
      </c>
      <c r="D430" s="2">
        <v>156</v>
      </c>
      <c r="E430" s="3" t="s">
        <v>10</v>
      </c>
      <c r="F430" s="6">
        <v>45043</v>
      </c>
      <c r="G430" s="2">
        <v>42</v>
      </c>
      <c r="H430" s="9">
        <v>3.3</v>
      </c>
      <c r="I430">
        <f>ROUND(calls[[#This Row],[Satisfaction Rating]],0)</f>
        <v>3</v>
      </c>
      <c r="J430" t="str">
        <f>TEXT(calls[[#This Row],[Date of Call]],"DDDD")</f>
        <v>Thursday</v>
      </c>
    </row>
    <row r="431" spans="2:10" x14ac:dyDescent="0.25">
      <c r="B431" s="8" t="s">
        <v>453</v>
      </c>
      <c r="C431" s="2" t="s">
        <v>23</v>
      </c>
      <c r="D431" s="2">
        <v>145</v>
      </c>
      <c r="E431" s="3" t="s">
        <v>13</v>
      </c>
      <c r="F431" s="6">
        <v>45044</v>
      </c>
      <c r="G431" s="2">
        <v>110</v>
      </c>
      <c r="H431" s="9">
        <v>3.1</v>
      </c>
      <c r="I431">
        <f>ROUND(calls[[#This Row],[Satisfaction Rating]],0)</f>
        <v>3</v>
      </c>
      <c r="J431" t="str">
        <f>TEXT(calls[[#This Row],[Date of Call]],"DDDD")</f>
        <v>Friday</v>
      </c>
    </row>
    <row r="432" spans="2:10" x14ac:dyDescent="0.25">
      <c r="B432" s="8" t="s">
        <v>454</v>
      </c>
      <c r="C432" s="2" t="s">
        <v>7</v>
      </c>
      <c r="D432" s="2">
        <v>36</v>
      </c>
      <c r="E432" s="3" t="s">
        <v>9</v>
      </c>
      <c r="F432" s="6">
        <v>45044</v>
      </c>
      <c r="G432" s="2">
        <v>225</v>
      </c>
      <c r="H432" s="9">
        <v>4.8</v>
      </c>
      <c r="I432">
        <f>ROUND(calls[[#This Row],[Satisfaction Rating]],0)</f>
        <v>5</v>
      </c>
      <c r="J432" t="str">
        <f>TEXT(calls[[#This Row],[Date of Call]],"DDDD")</f>
        <v>Friday</v>
      </c>
    </row>
    <row r="433" spans="2:10" x14ac:dyDescent="0.25">
      <c r="B433" s="8" t="s">
        <v>455</v>
      </c>
      <c r="C433" s="2" t="s">
        <v>24</v>
      </c>
      <c r="D433" s="2">
        <v>135</v>
      </c>
      <c r="E433" s="3" t="s">
        <v>6</v>
      </c>
      <c r="F433" s="6">
        <v>45045</v>
      </c>
      <c r="G433" s="2">
        <v>125</v>
      </c>
      <c r="H433" s="9">
        <v>3.3</v>
      </c>
      <c r="I433">
        <f>ROUND(calls[[#This Row],[Satisfaction Rating]],0)</f>
        <v>3</v>
      </c>
      <c r="J433" t="str">
        <f>TEXT(calls[[#This Row],[Date of Call]],"DDDD")</f>
        <v>Saturday</v>
      </c>
    </row>
    <row r="434" spans="2:10" x14ac:dyDescent="0.25">
      <c r="B434" s="8" t="s">
        <v>456</v>
      </c>
      <c r="C434" s="2" t="s">
        <v>15</v>
      </c>
      <c r="D434" s="2">
        <v>81</v>
      </c>
      <c r="E434" s="3" t="s">
        <v>9</v>
      </c>
      <c r="F434" s="6">
        <v>45045</v>
      </c>
      <c r="G434" s="2">
        <v>78</v>
      </c>
      <c r="H434" s="9">
        <v>2.9</v>
      </c>
      <c r="I434">
        <f>ROUND(calls[[#This Row],[Satisfaction Rating]],0)</f>
        <v>3</v>
      </c>
      <c r="J434" t="str">
        <f>TEXT(calls[[#This Row],[Date of Call]],"DDDD")</f>
        <v>Saturday</v>
      </c>
    </row>
    <row r="435" spans="2:10" x14ac:dyDescent="0.25">
      <c r="B435" s="8" t="s">
        <v>457</v>
      </c>
      <c r="C435" s="2" t="s">
        <v>15</v>
      </c>
      <c r="D435" s="2">
        <v>81</v>
      </c>
      <c r="E435" s="3" t="s">
        <v>13</v>
      </c>
      <c r="F435" s="6">
        <v>45045</v>
      </c>
      <c r="G435" s="2">
        <v>40</v>
      </c>
      <c r="H435" s="9">
        <v>2.4</v>
      </c>
      <c r="I435">
        <f>ROUND(calls[[#This Row],[Satisfaction Rating]],0)</f>
        <v>2</v>
      </c>
      <c r="J435" t="str">
        <f>TEXT(calls[[#This Row],[Date of Call]],"DDDD")</f>
        <v>Saturday</v>
      </c>
    </row>
    <row r="436" spans="2:10" x14ac:dyDescent="0.25">
      <c r="B436" s="8" t="s">
        <v>458</v>
      </c>
      <c r="C436" s="2" t="s">
        <v>22</v>
      </c>
      <c r="D436" s="2">
        <v>93</v>
      </c>
      <c r="E436" s="3" t="s">
        <v>11</v>
      </c>
      <c r="F436" s="6">
        <v>45045</v>
      </c>
      <c r="G436" s="2">
        <v>150</v>
      </c>
      <c r="H436" s="9">
        <v>4.5999999999999996</v>
      </c>
      <c r="I436">
        <f>ROUND(calls[[#This Row],[Satisfaction Rating]],0)</f>
        <v>5</v>
      </c>
      <c r="J436" t="str">
        <f>TEXT(calls[[#This Row],[Date of Call]],"DDDD")</f>
        <v>Saturday</v>
      </c>
    </row>
    <row r="437" spans="2:10" x14ac:dyDescent="0.25">
      <c r="B437" s="8" t="s">
        <v>459</v>
      </c>
      <c r="C437" s="2" t="s">
        <v>23</v>
      </c>
      <c r="D437" s="2">
        <v>14</v>
      </c>
      <c r="E437" s="3" t="s">
        <v>9</v>
      </c>
      <c r="F437" s="6">
        <v>45045</v>
      </c>
      <c r="G437" s="2">
        <v>96</v>
      </c>
      <c r="H437" s="9">
        <v>4.8</v>
      </c>
      <c r="I437">
        <f>ROUND(calls[[#This Row],[Satisfaction Rating]],0)</f>
        <v>5</v>
      </c>
      <c r="J437" t="str">
        <f>TEXT(calls[[#This Row],[Date of Call]],"DDDD")</f>
        <v>Saturday</v>
      </c>
    </row>
    <row r="438" spans="2:10" x14ac:dyDescent="0.25">
      <c r="B438" s="8" t="s">
        <v>460</v>
      </c>
      <c r="C438" s="2" t="s">
        <v>24</v>
      </c>
      <c r="D438" s="2">
        <v>95</v>
      </c>
      <c r="E438" s="3" t="s">
        <v>13</v>
      </c>
      <c r="F438" s="6">
        <v>45046</v>
      </c>
      <c r="G438" s="2">
        <v>75</v>
      </c>
      <c r="H438" s="9">
        <v>4.8</v>
      </c>
      <c r="I438">
        <f>ROUND(calls[[#This Row],[Satisfaction Rating]],0)</f>
        <v>5</v>
      </c>
      <c r="J438" t="str">
        <f>TEXT(calls[[#This Row],[Date of Call]],"DDDD")</f>
        <v>Sunday</v>
      </c>
    </row>
    <row r="439" spans="2:10" x14ac:dyDescent="0.25">
      <c r="B439" s="8" t="s">
        <v>461</v>
      </c>
      <c r="C439" s="2" t="s">
        <v>22</v>
      </c>
      <c r="D439" s="2">
        <v>81</v>
      </c>
      <c r="E439" s="3" t="s">
        <v>13</v>
      </c>
      <c r="F439" s="6">
        <v>45046</v>
      </c>
      <c r="G439" s="2">
        <v>60</v>
      </c>
      <c r="H439" s="9">
        <v>3.6</v>
      </c>
      <c r="I439">
        <f>ROUND(calls[[#This Row],[Satisfaction Rating]],0)</f>
        <v>4</v>
      </c>
      <c r="J439" t="str">
        <f>TEXT(calls[[#This Row],[Date of Call]],"DDDD")</f>
        <v>Sunday</v>
      </c>
    </row>
    <row r="440" spans="2:10" x14ac:dyDescent="0.25">
      <c r="B440" s="8" t="s">
        <v>462</v>
      </c>
      <c r="C440" s="2" t="s">
        <v>5</v>
      </c>
      <c r="D440" s="2">
        <v>60</v>
      </c>
      <c r="E440" s="3" t="s">
        <v>9</v>
      </c>
      <c r="F440" s="6">
        <v>45047</v>
      </c>
      <c r="G440" s="2">
        <v>41</v>
      </c>
      <c r="H440" s="9">
        <v>4.8</v>
      </c>
      <c r="I440">
        <f>ROUND(calls[[#This Row],[Satisfaction Rating]],0)</f>
        <v>5</v>
      </c>
      <c r="J440" t="str">
        <f>TEXT(calls[[#This Row],[Date of Call]],"DDDD")</f>
        <v>Monday</v>
      </c>
    </row>
    <row r="441" spans="2:10" x14ac:dyDescent="0.25">
      <c r="B441" s="8" t="s">
        <v>463</v>
      </c>
      <c r="C441" s="2" t="s">
        <v>14</v>
      </c>
      <c r="D441" s="2">
        <v>137</v>
      </c>
      <c r="E441" s="3" t="s">
        <v>11</v>
      </c>
      <c r="F441" s="6">
        <v>45047</v>
      </c>
      <c r="G441" s="2">
        <v>20</v>
      </c>
      <c r="H441" s="9">
        <v>4.2</v>
      </c>
      <c r="I441">
        <f>ROUND(calls[[#This Row],[Satisfaction Rating]],0)</f>
        <v>4</v>
      </c>
      <c r="J441" t="str">
        <f>TEXT(calls[[#This Row],[Date of Call]],"DDDD")</f>
        <v>Monday</v>
      </c>
    </row>
    <row r="442" spans="2:10" x14ac:dyDescent="0.25">
      <c r="B442" s="8" t="s">
        <v>464</v>
      </c>
      <c r="C442" s="2" t="s">
        <v>12</v>
      </c>
      <c r="D442" s="2">
        <v>112</v>
      </c>
      <c r="E442" s="3" t="s">
        <v>6</v>
      </c>
      <c r="F442" s="6">
        <v>45047</v>
      </c>
      <c r="G442" s="2">
        <v>84</v>
      </c>
      <c r="H442" s="9">
        <v>2.6</v>
      </c>
      <c r="I442">
        <f>ROUND(calls[[#This Row],[Satisfaction Rating]],0)</f>
        <v>3</v>
      </c>
      <c r="J442" t="str">
        <f>TEXT(calls[[#This Row],[Date of Call]],"DDDD")</f>
        <v>Monday</v>
      </c>
    </row>
    <row r="443" spans="2:10" x14ac:dyDescent="0.25">
      <c r="B443" s="8" t="s">
        <v>465</v>
      </c>
      <c r="C443" s="2" t="s">
        <v>24</v>
      </c>
      <c r="D443" s="2">
        <v>76</v>
      </c>
      <c r="E443" s="3" t="s">
        <v>10</v>
      </c>
      <c r="F443" s="6">
        <v>45047</v>
      </c>
      <c r="G443" s="2">
        <v>140</v>
      </c>
      <c r="H443" s="9">
        <v>3.7</v>
      </c>
      <c r="I443">
        <f>ROUND(calls[[#This Row],[Satisfaction Rating]],0)</f>
        <v>4</v>
      </c>
      <c r="J443" t="str">
        <f>TEXT(calls[[#This Row],[Date of Call]],"DDDD")</f>
        <v>Monday</v>
      </c>
    </row>
    <row r="444" spans="2:10" x14ac:dyDescent="0.25">
      <c r="B444" s="8" t="s">
        <v>466</v>
      </c>
      <c r="C444" s="2" t="s">
        <v>19</v>
      </c>
      <c r="D444" s="2">
        <v>73</v>
      </c>
      <c r="E444" s="3" t="s">
        <v>9</v>
      </c>
      <c r="F444" s="6">
        <v>45047</v>
      </c>
      <c r="G444" s="2">
        <v>66</v>
      </c>
      <c r="H444" s="9">
        <v>4.8</v>
      </c>
      <c r="I444">
        <f>ROUND(calls[[#This Row],[Satisfaction Rating]],0)</f>
        <v>5</v>
      </c>
      <c r="J444" t="str">
        <f>TEXT(calls[[#This Row],[Date of Call]],"DDDD")</f>
        <v>Monday</v>
      </c>
    </row>
    <row r="445" spans="2:10" x14ac:dyDescent="0.25">
      <c r="B445" s="8" t="s">
        <v>467</v>
      </c>
      <c r="C445" s="2" t="s">
        <v>18</v>
      </c>
      <c r="D445" s="2">
        <v>119</v>
      </c>
      <c r="E445" s="3" t="s">
        <v>11</v>
      </c>
      <c r="F445" s="6">
        <v>45047</v>
      </c>
      <c r="G445" s="2">
        <v>105</v>
      </c>
      <c r="H445" s="9">
        <v>4.7</v>
      </c>
      <c r="I445">
        <f>ROUND(calls[[#This Row],[Satisfaction Rating]],0)</f>
        <v>5</v>
      </c>
      <c r="J445" t="str">
        <f>TEXT(calls[[#This Row],[Date of Call]],"DDDD")</f>
        <v>Monday</v>
      </c>
    </row>
    <row r="446" spans="2:10" x14ac:dyDescent="0.25">
      <c r="B446" s="8" t="s">
        <v>468</v>
      </c>
      <c r="C446" s="2" t="s">
        <v>20</v>
      </c>
      <c r="D446" s="2">
        <v>135</v>
      </c>
      <c r="E446" s="3" t="s">
        <v>13</v>
      </c>
      <c r="F446" s="6">
        <v>45048</v>
      </c>
      <c r="G446" s="2">
        <v>104</v>
      </c>
      <c r="H446" s="9">
        <v>4.0999999999999996</v>
      </c>
      <c r="I446">
        <f>ROUND(calls[[#This Row],[Satisfaction Rating]],0)</f>
        <v>4</v>
      </c>
      <c r="J446" t="str">
        <f>TEXT(calls[[#This Row],[Date of Call]],"DDDD")</f>
        <v>Tuesday</v>
      </c>
    </row>
    <row r="447" spans="2:10" x14ac:dyDescent="0.25">
      <c r="B447" s="8" t="s">
        <v>469</v>
      </c>
      <c r="C447" s="2" t="s">
        <v>14</v>
      </c>
      <c r="D447" s="2">
        <v>41</v>
      </c>
      <c r="E447" s="3" t="s">
        <v>6</v>
      </c>
      <c r="F447" s="6">
        <v>45048</v>
      </c>
      <c r="G447" s="2">
        <v>123</v>
      </c>
      <c r="H447" s="9">
        <v>3.2</v>
      </c>
      <c r="I447">
        <f>ROUND(calls[[#This Row],[Satisfaction Rating]],0)</f>
        <v>3</v>
      </c>
      <c r="J447" t="str">
        <f>TEXT(calls[[#This Row],[Date of Call]],"DDDD")</f>
        <v>Tuesday</v>
      </c>
    </row>
    <row r="448" spans="2:10" x14ac:dyDescent="0.25">
      <c r="B448" s="8" t="s">
        <v>470</v>
      </c>
      <c r="C448" s="2" t="s">
        <v>23</v>
      </c>
      <c r="D448" s="2">
        <v>35</v>
      </c>
      <c r="E448" s="3" t="s">
        <v>13</v>
      </c>
      <c r="F448" s="6">
        <v>45049</v>
      </c>
      <c r="G448" s="2">
        <v>215</v>
      </c>
      <c r="H448" s="9">
        <v>4.3</v>
      </c>
      <c r="I448">
        <f>ROUND(calls[[#This Row],[Satisfaction Rating]],0)</f>
        <v>4</v>
      </c>
      <c r="J448" t="str">
        <f>TEXT(calls[[#This Row],[Date of Call]],"DDDD")</f>
        <v>Wednesday</v>
      </c>
    </row>
    <row r="449" spans="2:10" x14ac:dyDescent="0.25">
      <c r="B449" s="8" t="s">
        <v>471</v>
      </c>
      <c r="C449" s="2" t="s">
        <v>20</v>
      </c>
      <c r="D449" s="2">
        <v>96</v>
      </c>
      <c r="E449" s="3" t="s">
        <v>9</v>
      </c>
      <c r="F449" s="6">
        <v>45049</v>
      </c>
      <c r="G449" s="2">
        <v>46</v>
      </c>
      <c r="H449" s="9">
        <v>0.7</v>
      </c>
      <c r="I449">
        <f>ROUND(calls[[#This Row],[Satisfaction Rating]],0)</f>
        <v>1</v>
      </c>
      <c r="J449" t="str">
        <f>TEXT(calls[[#This Row],[Date of Call]],"DDDD")</f>
        <v>Wednesday</v>
      </c>
    </row>
    <row r="450" spans="2:10" x14ac:dyDescent="0.25">
      <c r="B450" s="8" t="s">
        <v>472</v>
      </c>
      <c r="C450" s="2" t="s">
        <v>22</v>
      </c>
      <c r="D450" s="2">
        <v>61</v>
      </c>
      <c r="E450" s="3" t="s">
        <v>6</v>
      </c>
      <c r="F450" s="6">
        <v>45049</v>
      </c>
      <c r="G450" s="2">
        <v>115</v>
      </c>
      <c r="H450" s="9">
        <v>3.7</v>
      </c>
      <c r="I450">
        <f>ROUND(calls[[#This Row],[Satisfaction Rating]],0)</f>
        <v>4</v>
      </c>
      <c r="J450" t="str">
        <f>TEXT(calls[[#This Row],[Date of Call]],"DDDD")</f>
        <v>Wednesday</v>
      </c>
    </row>
    <row r="451" spans="2:10" x14ac:dyDescent="0.25">
      <c r="B451" s="8" t="s">
        <v>473</v>
      </c>
      <c r="C451" s="2" t="s">
        <v>20</v>
      </c>
      <c r="D451" s="2">
        <v>91</v>
      </c>
      <c r="E451" s="3" t="s">
        <v>6</v>
      </c>
      <c r="F451" s="6">
        <v>45049</v>
      </c>
      <c r="G451" s="2">
        <v>124</v>
      </c>
      <c r="H451" s="9">
        <v>3.9</v>
      </c>
      <c r="I451">
        <f>ROUND(calls[[#This Row],[Satisfaction Rating]],0)</f>
        <v>4</v>
      </c>
      <c r="J451" t="str">
        <f>TEXT(calls[[#This Row],[Date of Call]],"DDDD")</f>
        <v>Wednesday</v>
      </c>
    </row>
    <row r="452" spans="2:10" x14ac:dyDescent="0.25">
      <c r="B452" s="8" t="s">
        <v>474</v>
      </c>
      <c r="C452" s="2" t="s">
        <v>17</v>
      </c>
      <c r="D452" s="2">
        <v>30</v>
      </c>
      <c r="E452" s="3" t="s">
        <v>6</v>
      </c>
      <c r="F452" s="6">
        <v>45050</v>
      </c>
      <c r="G452" s="2">
        <v>205</v>
      </c>
      <c r="H452" s="9">
        <v>4.5</v>
      </c>
      <c r="I452">
        <f>ROUND(calls[[#This Row],[Satisfaction Rating]],0)</f>
        <v>5</v>
      </c>
      <c r="J452" t="str">
        <f>TEXT(calls[[#This Row],[Date of Call]],"DDDD")</f>
        <v>Thursday</v>
      </c>
    </row>
    <row r="453" spans="2:10" x14ac:dyDescent="0.25">
      <c r="B453" s="8" t="s">
        <v>475</v>
      </c>
      <c r="C453" s="2" t="s">
        <v>5</v>
      </c>
      <c r="D453" s="2">
        <v>111</v>
      </c>
      <c r="E453" s="3" t="s">
        <v>11</v>
      </c>
      <c r="F453" s="6">
        <v>45050</v>
      </c>
      <c r="G453" s="2">
        <v>90</v>
      </c>
      <c r="H453" s="9">
        <v>2.8</v>
      </c>
      <c r="I453">
        <f>ROUND(calls[[#This Row],[Satisfaction Rating]],0)</f>
        <v>3</v>
      </c>
      <c r="J453" t="str">
        <f>TEXT(calls[[#This Row],[Date of Call]],"DDDD")</f>
        <v>Thursday</v>
      </c>
    </row>
    <row r="454" spans="2:10" x14ac:dyDescent="0.25">
      <c r="B454" s="8" t="s">
        <v>476</v>
      </c>
      <c r="C454" s="2" t="s">
        <v>22</v>
      </c>
      <c r="D454" s="2">
        <v>81</v>
      </c>
      <c r="E454" s="3" t="s">
        <v>9</v>
      </c>
      <c r="F454" s="6">
        <v>45050</v>
      </c>
      <c r="G454" s="2">
        <v>92</v>
      </c>
      <c r="H454" s="9">
        <v>4.9000000000000004</v>
      </c>
      <c r="I454">
        <f>ROUND(calls[[#This Row],[Satisfaction Rating]],0)</f>
        <v>5</v>
      </c>
      <c r="J454" t="str">
        <f>TEXT(calls[[#This Row],[Date of Call]],"DDDD")</f>
        <v>Thursday</v>
      </c>
    </row>
    <row r="455" spans="2:10" x14ac:dyDescent="0.25">
      <c r="B455" s="8" t="s">
        <v>477</v>
      </c>
      <c r="C455" s="2" t="s">
        <v>24</v>
      </c>
      <c r="D455" s="2">
        <v>40</v>
      </c>
      <c r="E455" s="3" t="s">
        <v>13</v>
      </c>
      <c r="F455" s="6">
        <v>45052</v>
      </c>
      <c r="G455" s="2">
        <v>108</v>
      </c>
      <c r="H455" s="9">
        <v>4.2</v>
      </c>
      <c r="I455">
        <f>ROUND(calls[[#This Row],[Satisfaction Rating]],0)</f>
        <v>4</v>
      </c>
      <c r="J455" t="str">
        <f>TEXT(calls[[#This Row],[Date of Call]],"DDDD")</f>
        <v>Saturday</v>
      </c>
    </row>
    <row r="456" spans="2:10" x14ac:dyDescent="0.25">
      <c r="B456" s="8" t="s">
        <v>478</v>
      </c>
      <c r="C456" s="2" t="s">
        <v>5</v>
      </c>
      <c r="D456" s="2">
        <v>143</v>
      </c>
      <c r="E456" s="3" t="s">
        <v>13</v>
      </c>
      <c r="F456" s="6">
        <v>45052</v>
      </c>
      <c r="G456" s="2">
        <v>54</v>
      </c>
      <c r="H456" s="9">
        <v>4.4000000000000004</v>
      </c>
      <c r="I456">
        <f>ROUND(calls[[#This Row],[Satisfaction Rating]],0)</f>
        <v>4</v>
      </c>
      <c r="J456" t="str">
        <f>TEXT(calls[[#This Row],[Date of Call]],"DDDD")</f>
        <v>Saturday</v>
      </c>
    </row>
    <row r="457" spans="2:10" x14ac:dyDescent="0.25">
      <c r="B457" s="8" t="s">
        <v>479</v>
      </c>
      <c r="C457" s="2" t="s">
        <v>24</v>
      </c>
      <c r="D457" s="2">
        <v>70</v>
      </c>
      <c r="E457" s="3" t="s">
        <v>13</v>
      </c>
      <c r="F457" s="6">
        <v>45053</v>
      </c>
      <c r="G457" s="2">
        <v>44</v>
      </c>
      <c r="H457" s="9">
        <v>3.5</v>
      </c>
      <c r="I457">
        <f>ROUND(calls[[#This Row],[Satisfaction Rating]],0)</f>
        <v>4</v>
      </c>
      <c r="J457" t="str">
        <f>TEXT(calls[[#This Row],[Date of Call]],"DDDD")</f>
        <v>Sunday</v>
      </c>
    </row>
    <row r="458" spans="2:10" x14ac:dyDescent="0.25">
      <c r="B458" s="8" t="s">
        <v>480</v>
      </c>
      <c r="C458" s="2" t="s">
        <v>19</v>
      </c>
      <c r="D458" s="2">
        <v>137</v>
      </c>
      <c r="E458" s="3" t="s">
        <v>13</v>
      </c>
      <c r="F458" s="6">
        <v>45053</v>
      </c>
      <c r="G458" s="2">
        <v>44</v>
      </c>
      <c r="H458" s="9">
        <v>4.7</v>
      </c>
      <c r="I458">
        <f>ROUND(calls[[#This Row],[Satisfaction Rating]],0)</f>
        <v>5</v>
      </c>
      <c r="J458" t="str">
        <f>TEXT(calls[[#This Row],[Date of Call]],"DDDD")</f>
        <v>Sunday</v>
      </c>
    </row>
    <row r="459" spans="2:10" x14ac:dyDescent="0.25">
      <c r="B459" s="8" t="s">
        <v>481</v>
      </c>
      <c r="C459" s="2" t="s">
        <v>20</v>
      </c>
      <c r="D459" s="2">
        <v>52</v>
      </c>
      <c r="E459" s="3" t="s">
        <v>9</v>
      </c>
      <c r="F459" s="6">
        <v>45054</v>
      </c>
      <c r="G459" s="2">
        <v>37</v>
      </c>
      <c r="H459" s="9">
        <v>4.9000000000000004</v>
      </c>
      <c r="I459">
        <f>ROUND(calls[[#This Row],[Satisfaction Rating]],0)</f>
        <v>5</v>
      </c>
      <c r="J459" t="str">
        <f>TEXT(calls[[#This Row],[Date of Call]],"DDDD")</f>
        <v>Monday</v>
      </c>
    </row>
    <row r="460" spans="2:10" x14ac:dyDescent="0.25">
      <c r="B460" s="8" t="s">
        <v>482</v>
      </c>
      <c r="C460" s="2" t="s">
        <v>12</v>
      </c>
      <c r="D460" s="2">
        <v>31</v>
      </c>
      <c r="E460" s="3" t="s">
        <v>11</v>
      </c>
      <c r="F460" s="6">
        <v>45054</v>
      </c>
      <c r="G460" s="2">
        <v>180</v>
      </c>
      <c r="H460" s="9">
        <v>4.5</v>
      </c>
      <c r="I460">
        <f>ROUND(calls[[#This Row],[Satisfaction Rating]],0)</f>
        <v>5</v>
      </c>
      <c r="J460" t="str">
        <f>TEXT(calls[[#This Row],[Date of Call]],"DDDD")</f>
        <v>Monday</v>
      </c>
    </row>
    <row r="461" spans="2:10" x14ac:dyDescent="0.25">
      <c r="B461" s="8" t="s">
        <v>483</v>
      </c>
      <c r="C461" s="2" t="s">
        <v>20</v>
      </c>
      <c r="D461" s="2">
        <v>114</v>
      </c>
      <c r="E461" s="3" t="s">
        <v>6</v>
      </c>
      <c r="F461" s="6">
        <v>45054</v>
      </c>
      <c r="G461" s="2">
        <v>105</v>
      </c>
      <c r="H461" s="9">
        <v>4.9000000000000004</v>
      </c>
      <c r="I461">
        <f>ROUND(calls[[#This Row],[Satisfaction Rating]],0)</f>
        <v>5</v>
      </c>
      <c r="J461" t="str">
        <f>TEXT(calls[[#This Row],[Date of Call]],"DDDD")</f>
        <v>Monday</v>
      </c>
    </row>
    <row r="462" spans="2:10" x14ac:dyDescent="0.25">
      <c r="B462" s="8" t="s">
        <v>484</v>
      </c>
      <c r="C462" s="2" t="s">
        <v>19</v>
      </c>
      <c r="D462" s="2">
        <v>73</v>
      </c>
      <c r="E462" s="3" t="s">
        <v>10</v>
      </c>
      <c r="F462" s="6">
        <v>45054</v>
      </c>
      <c r="G462" s="2">
        <v>87</v>
      </c>
      <c r="H462" s="9">
        <v>3.6</v>
      </c>
      <c r="I462">
        <f>ROUND(calls[[#This Row],[Satisfaction Rating]],0)</f>
        <v>4</v>
      </c>
      <c r="J462" t="str">
        <f>TEXT(calls[[#This Row],[Date of Call]],"DDDD")</f>
        <v>Monday</v>
      </c>
    </row>
    <row r="463" spans="2:10" x14ac:dyDescent="0.25">
      <c r="B463" s="8" t="s">
        <v>485</v>
      </c>
      <c r="C463" s="2" t="s">
        <v>22</v>
      </c>
      <c r="D463" s="2">
        <v>25</v>
      </c>
      <c r="E463" s="3" t="s">
        <v>11</v>
      </c>
      <c r="F463" s="6">
        <v>45054</v>
      </c>
      <c r="G463" s="2">
        <v>52</v>
      </c>
      <c r="H463" s="9">
        <v>3.8</v>
      </c>
      <c r="I463">
        <f>ROUND(calls[[#This Row],[Satisfaction Rating]],0)</f>
        <v>4</v>
      </c>
      <c r="J463" t="str">
        <f>TEXT(calls[[#This Row],[Date of Call]],"DDDD")</f>
        <v>Monday</v>
      </c>
    </row>
    <row r="464" spans="2:10" x14ac:dyDescent="0.25">
      <c r="B464" s="8" t="s">
        <v>486</v>
      </c>
      <c r="C464" s="2" t="s">
        <v>8</v>
      </c>
      <c r="D464" s="2">
        <v>44</v>
      </c>
      <c r="E464" s="3" t="s">
        <v>6</v>
      </c>
      <c r="F464" s="6">
        <v>45054</v>
      </c>
      <c r="G464" s="2">
        <v>63</v>
      </c>
      <c r="H464" s="9">
        <v>3.5</v>
      </c>
      <c r="I464">
        <f>ROUND(calls[[#This Row],[Satisfaction Rating]],0)</f>
        <v>4</v>
      </c>
      <c r="J464" t="str">
        <f>TEXT(calls[[#This Row],[Date of Call]],"DDDD")</f>
        <v>Monday</v>
      </c>
    </row>
    <row r="465" spans="2:10" x14ac:dyDescent="0.25">
      <c r="B465" s="8" t="s">
        <v>487</v>
      </c>
      <c r="C465" s="2" t="s">
        <v>7</v>
      </c>
      <c r="D465" s="2">
        <v>34</v>
      </c>
      <c r="E465" s="3" t="s">
        <v>9</v>
      </c>
      <c r="F465" s="6">
        <v>45055</v>
      </c>
      <c r="G465" s="2">
        <v>195</v>
      </c>
      <c r="H465" s="9">
        <v>4.8</v>
      </c>
      <c r="I465">
        <f>ROUND(calls[[#This Row],[Satisfaction Rating]],0)</f>
        <v>5</v>
      </c>
      <c r="J465" t="str">
        <f>TEXT(calls[[#This Row],[Date of Call]],"DDDD")</f>
        <v>Tuesday</v>
      </c>
    </row>
    <row r="466" spans="2:10" x14ac:dyDescent="0.25">
      <c r="B466" s="8" t="s">
        <v>488</v>
      </c>
      <c r="C466" s="2" t="s">
        <v>5</v>
      </c>
      <c r="D466" s="2">
        <v>89</v>
      </c>
      <c r="E466" s="3" t="s">
        <v>13</v>
      </c>
      <c r="F466" s="6">
        <v>45056</v>
      </c>
      <c r="G466" s="2">
        <v>176</v>
      </c>
      <c r="H466" s="9">
        <v>4.5</v>
      </c>
      <c r="I466">
        <f>ROUND(calls[[#This Row],[Satisfaction Rating]],0)</f>
        <v>5</v>
      </c>
      <c r="J466" t="str">
        <f>TEXT(calls[[#This Row],[Date of Call]],"DDDD")</f>
        <v>Wednesday</v>
      </c>
    </row>
    <row r="467" spans="2:10" x14ac:dyDescent="0.25">
      <c r="B467" s="8" t="s">
        <v>489</v>
      </c>
      <c r="C467" s="2" t="s">
        <v>18</v>
      </c>
      <c r="D467" s="2">
        <v>54</v>
      </c>
      <c r="E467" s="3" t="s">
        <v>11</v>
      </c>
      <c r="F467" s="6">
        <v>45057</v>
      </c>
      <c r="G467" s="2">
        <v>31</v>
      </c>
      <c r="H467" s="9">
        <v>3.3</v>
      </c>
      <c r="I467">
        <f>ROUND(calls[[#This Row],[Satisfaction Rating]],0)</f>
        <v>3</v>
      </c>
      <c r="J467" t="str">
        <f>TEXT(calls[[#This Row],[Date of Call]],"DDDD")</f>
        <v>Thursday</v>
      </c>
    </row>
    <row r="468" spans="2:10" x14ac:dyDescent="0.25">
      <c r="B468" s="8" t="s">
        <v>490</v>
      </c>
      <c r="C468" s="2" t="s">
        <v>23</v>
      </c>
      <c r="D468" s="2">
        <v>25</v>
      </c>
      <c r="E468" s="3" t="s">
        <v>11</v>
      </c>
      <c r="F468" s="6">
        <v>45058</v>
      </c>
      <c r="G468" s="2">
        <v>27</v>
      </c>
      <c r="H468" s="9">
        <v>3.2</v>
      </c>
      <c r="I468">
        <f>ROUND(calls[[#This Row],[Satisfaction Rating]],0)</f>
        <v>3</v>
      </c>
      <c r="J468" t="str">
        <f>TEXT(calls[[#This Row],[Date of Call]],"DDDD")</f>
        <v>Friday</v>
      </c>
    </row>
    <row r="469" spans="2:10" x14ac:dyDescent="0.25">
      <c r="B469" s="8" t="s">
        <v>491</v>
      </c>
      <c r="C469" s="2" t="s">
        <v>14</v>
      </c>
      <c r="D469" s="2">
        <v>91</v>
      </c>
      <c r="E469" s="3" t="s">
        <v>13</v>
      </c>
      <c r="F469" s="6">
        <v>45058</v>
      </c>
      <c r="G469" s="2">
        <v>76</v>
      </c>
      <c r="H469" s="9">
        <v>4.9000000000000004</v>
      </c>
      <c r="I469">
        <f>ROUND(calls[[#This Row],[Satisfaction Rating]],0)</f>
        <v>5</v>
      </c>
      <c r="J469" t="str">
        <f>TEXT(calls[[#This Row],[Date of Call]],"DDDD")</f>
        <v>Friday</v>
      </c>
    </row>
    <row r="470" spans="2:10" x14ac:dyDescent="0.25">
      <c r="B470" s="8" t="s">
        <v>492</v>
      </c>
      <c r="C470" s="2" t="s">
        <v>8</v>
      </c>
      <c r="D470" s="2">
        <v>144</v>
      </c>
      <c r="E470" s="3" t="s">
        <v>6</v>
      </c>
      <c r="F470" s="6">
        <v>45058</v>
      </c>
      <c r="G470" s="2">
        <v>62</v>
      </c>
      <c r="H470" s="9">
        <v>4.8</v>
      </c>
      <c r="I470">
        <f>ROUND(calls[[#This Row],[Satisfaction Rating]],0)</f>
        <v>5</v>
      </c>
      <c r="J470" t="str">
        <f>TEXT(calls[[#This Row],[Date of Call]],"DDDD")</f>
        <v>Friday</v>
      </c>
    </row>
    <row r="471" spans="2:10" x14ac:dyDescent="0.25">
      <c r="B471" s="8" t="s">
        <v>493</v>
      </c>
      <c r="C471" s="2" t="s">
        <v>14</v>
      </c>
      <c r="D471" s="2">
        <v>81</v>
      </c>
      <c r="E471" s="3" t="s">
        <v>9</v>
      </c>
      <c r="F471" s="6">
        <v>45060</v>
      </c>
      <c r="G471" s="2">
        <v>100</v>
      </c>
      <c r="H471" s="9">
        <v>1.3</v>
      </c>
      <c r="I471">
        <f>ROUND(calls[[#This Row],[Satisfaction Rating]],0)</f>
        <v>1</v>
      </c>
      <c r="J471" t="str">
        <f>TEXT(calls[[#This Row],[Date of Call]],"DDDD")</f>
        <v>Sunday</v>
      </c>
    </row>
    <row r="472" spans="2:10" x14ac:dyDescent="0.25">
      <c r="B472" s="8" t="s">
        <v>494</v>
      </c>
      <c r="C472" s="2" t="s">
        <v>17</v>
      </c>
      <c r="D472" s="2">
        <v>92</v>
      </c>
      <c r="E472" s="3" t="s">
        <v>11</v>
      </c>
      <c r="F472" s="6">
        <v>45060</v>
      </c>
      <c r="G472" s="2">
        <v>44</v>
      </c>
      <c r="H472" s="9">
        <v>3.1</v>
      </c>
      <c r="I472">
        <f>ROUND(calls[[#This Row],[Satisfaction Rating]],0)</f>
        <v>3</v>
      </c>
      <c r="J472" t="str">
        <f>TEXT(calls[[#This Row],[Date of Call]],"DDDD")</f>
        <v>Sunday</v>
      </c>
    </row>
    <row r="473" spans="2:10" x14ac:dyDescent="0.25">
      <c r="B473" s="8" t="s">
        <v>495</v>
      </c>
      <c r="C473" s="2" t="s">
        <v>23</v>
      </c>
      <c r="D473" s="2">
        <v>115</v>
      </c>
      <c r="E473" s="3" t="s">
        <v>13</v>
      </c>
      <c r="F473" s="6">
        <v>45060</v>
      </c>
      <c r="G473" s="2">
        <v>168</v>
      </c>
      <c r="H473" s="9">
        <v>3.4</v>
      </c>
      <c r="I473">
        <f>ROUND(calls[[#This Row],[Satisfaction Rating]],0)</f>
        <v>3</v>
      </c>
      <c r="J473" t="str">
        <f>TEXT(calls[[#This Row],[Date of Call]],"DDDD")</f>
        <v>Sunday</v>
      </c>
    </row>
    <row r="474" spans="2:10" x14ac:dyDescent="0.25">
      <c r="B474" s="8" t="s">
        <v>496</v>
      </c>
      <c r="C474" s="2" t="s">
        <v>15</v>
      </c>
      <c r="D474" s="2">
        <v>56</v>
      </c>
      <c r="E474" s="3" t="s">
        <v>13</v>
      </c>
      <c r="F474" s="6">
        <v>45061</v>
      </c>
      <c r="G474" s="2">
        <v>200</v>
      </c>
      <c r="H474" s="9">
        <v>4.5999999999999996</v>
      </c>
      <c r="I474">
        <f>ROUND(calls[[#This Row],[Satisfaction Rating]],0)</f>
        <v>5</v>
      </c>
      <c r="J474" t="str">
        <f>TEXT(calls[[#This Row],[Date of Call]],"DDDD")</f>
        <v>Monday</v>
      </c>
    </row>
    <row r="475" spans="2:10" x14ac:dyDescent="0.25">
      <c r="B475" s="8" t="s">
        <v>497</v>
      </c>
      <c r="C475" s="2" t="s">
        <v>12</v>
      </c>
      <c r="D475" s="2">
        <v>154</v>
      </c>
      <c r="E475" s="3" t="s">
        <v>11</v>
      </c>
      <c r="F475" s="6">
        <v>45061</v>
      </c>
      <c r="G475" s="2">
        <v>84</v>
      </c>
      <c r="H475" s="9">
        <v>4.3</v>
      </c>
      <c r="I475">
        <f>ROUND(calls[[#This Row],[Satisfaction Rating]],0)</f>
        <v>4</v>
      </c>
      <c r="J475" t="str">
        <f>TEXT(calls[[#This Row],[Date of Call]],"DDDD")</f>
        <v>Monday</v>
      </c>
    </row>
    <row r="476" spans="2:10" x14ac:dyDescent="0.25">
      <c r="B476" s="8" t="s">
        <v>498</v>
      </c>
      <c r="C476" s="2" t="s">
        <v>5</v>
      </c>
      <c r="D476" s="2">
        <v>51</v>
      </c>
      <c r="E476" s="3" t="s">
        <v>13</v>
      </c>
      <c r="F476" s="6">
        <v>45062</v>
      </c>
      <c r="G476" s="2">
        <v>117</v>
      </c>
      <c r="H476" s="9">
        <v>2.7</v>
      </c>
      <c r="I476">
        <f>ROUND(calls[[#This Row],[Satisfaction Rating]],0)</f>
        <v>3</v>
      </c>
      <c r="J476" t="str">
        <f>TEXT(calls[[#This Row],[Date of Call]],"DDDD")</f>
        <v>Tuesday</v>
      </c>
    </row>
    <row r="477" spans="2:10" x14ac:dyDescent="0.25">
      <c r="B477" s="8" t="s">
        <v>499</v>
      </c>
      <c r="C477" s="2" t="s">
        <v>7</v>
      </c>
      <c r="D477" s="2">
        <v>21</v>
      </c>
      <c r="E477" s="3" t="s">
        <v>9</v>
      </c>
      <c r="F477" s="6">
        <v>45062</v>
      </c>
      <c r="G477" s="2">
        <v>63</v>
      </c>
      <c r="H477" s="9">
        <v>4.2</v>
      </c>
      <c r="I477">
        <f>ROUND(calls[[#This Row],[Satisfaction Rating]],0)</f>
        <v>4</v>
      </c>
      <c r="J477" t="str">
        <f>TEXT(calls[[#This Row],[Date of Call]],"DDDD")</f>
        <v>Tuesday</v>
      </c>
    </row>
    <row r="478" spans="2:10" x14ac:dyDescent="0.25">
      <c r="B478" s="8" t="s">
        <v>500</v>
      </c>
      <c r="C478" s="2" t="s">
        <v>23</v>
      </c>
      <c r="D478" s="2">
        <v>80</v>
      </c>
      <c r="E478" s="3" t="s">
        <v>13</v>
      </c>
      <c r="F478" s="6">
        <v>45063</v>
      </c>
      <c r="G478" s="2">
        <v>145</v>
      </c>
      <c r="H478" s="9">
        <v>4.9000000000000004</v>
      </c>
      <c r="I478">
        <f>ROUND(calls[[#This Row],[Satisfaction Rating]],0)</f>
        <v>5</v>
      </c>
      <c r="J478" t="str">
        <f>TEXT(calls[[#This Row],[Date of Call]],"DDDD")</f>
        <v>Wednesday</v>
      </c>
    </row>
    <row r="479" spans="2:10" x14ac:dyDescent="0.25">
      <c r="B479" s="8" t="s">
        <v>501</v>
      </c>
      <c r="C479" s="2" t="s">
        <v>5</v>
      </c>
      <c r="D479" s="2">
        <v>139</v>
      </c>
      <c r="E479" s="3" t="s">
        <v>11</v>
      </c>
      <c r="F479" s="6">
        <v>45063</v>
      </c>
      <c r="G479" s="2">
        <v>220</v>
      </c>
      <c r="H479" s="9">
        <v>3.2</v>
      </c>
      <c r="I479">
        <f>ROUND(calls[[#This Row],[Satisfaction Rating]],0)</f>
        <v>3</v>
      </c>
      <c r="J479" t="str">
        <f>TEXT(calls[[#This Row],[Date of Call]],"DDDD")</f>
        <v>Wednesday</v>
      </c>
    </row>
    <row r="480" spans="2:10" x14ac:dyDescent="0.25">
      <c r="B480" s="8" t="s">
        <v>502</v>
      </c>
      <c r="C480" s="2" t="s">
        <v>24</v>
      </c>
      <c r="D480" s="2">
        <v>50</v>
      </c>
      <c r="E480" s="3" t="s">
        <v>9</v>
      </c>
      <c r="F480" s="6">
        <v>45063</v>
      </c>
      <c r="G480" s="2">
        <v>26</v>
      </c>
      <c r="H480" s="9">
        <v>4.7</v>
      </c>
      <c r="I480">
        <f>ROUND(calls[[#This Row],[Satisfaction Rating]],0)</f>
        <v>5</v>
      </c>
      <c r="J480" t="str">
        <f>TEXT(calls[[#This Row],[Date of Call]],"DDDD")</f>
        <v>Wednesday</v>
      </c>
    </row>
    <row r="481" spans="2:10" x14ac:dyDescent="0.25">
      <c r="B481" s="8" t="s">
        <v>503</v>
      </c>
      <c r="C481" s="2" t="s">
        <v>23</v>
      </c>
      <c r="D481" s="2">
        <v>88</v>
      </c>
      <c r="E481" s="3" t="s">
        <v>13</v>
      </c>
      <c r="F481" s="6">
        <v>45063</v>
      </c>
      <c r="G481" s="2">
        <v>78</v>
      </c>
      <c r="H481" s="9">
        <v>4.3</v>
      </c>
      <c r="I481">
        <f>ROUND(calls[[#This Row],[Satisfaction Rating]],0)</f>
        <v>4</v>
      </c>
      <c r="J481" t="str">
        <f>TEXT(calls[[#This Row],[Date of Call]],"DDDD")</f>
        <v>Wednesday</v>
      </c>
    </row>
    <row r="482" spans="2:10" x14ac:dyDescent="0.25">
      <c r="B482" s="8" t="s">
        <v>504</v>
      </c>
      <c r="C482" s="2" t="s">
        <v>18</v>
      </c>
      <c r="D482" s="2">
        <v>19</v>
      </c>
      <c r="E482" s="3" t="s">
        <v>6</v>
      </c>
      <c r="F482" s="6">
        <v>45064</v>
      </c>
      <c r="G482" s="2">
        <v>132</v>
      </c>
      <c r="H482" s="9">
        <v>4.3</v>
      </c>
      <c r="I482">
        <f>ROUND(calls[[#This Row],[Satisfaction Rating]],0)</f>
        <v>4</v>
      </c>
      <c r="J482" t="str">
        <f>TEXT(calls[[#This Row],[Date of Call]],"DDDD")</f>
        <v>Thursday</v>
      </c>
    </row>
    <row r="483" spans="2:10" x14ac:dyDescent="0.25">
      <c r="B483" s="8" t="s">
        <v>505</v>
      </c>
      <c r="C483" s="2" t="s">
        <v>22</v>
      </c>
      <c r="D483" s="2">
        <v>104</v>
      </c>
      <c r="E483" s="3" t="s">
        <v>6</v>
      </c>
      <c r="F483" s="6">
        <v>45065</v>
      </c>
      <c r="G483" s="2">
        <v>68</v>
      </c>
      <c r="H483" s="9">
        <v>3.7</v>
      </c>
      <c r="I483">
        <f>ROUND(calls[[#This Row],[Satisfaction Rating]],0)</f>
        <v>4</v>
      </c>
      <c r="J483" t="str">
        <f>TEXT(calls[[#This Row],[Date of Call]],"DDDD")</f>
        <v>Friday</v>
      </c>
    </row>
    <row r="484" spans="2:10" x14ac:dyDescent="0.25">
      <c r="B484" s="8" t="s">
        <v>506</v>
      </c>
      <c r="C484" s="2" t="s">
        <v>12</v>
      </c>
      <c r="D484" s="2">
        <v>67</v>
      </c>
      <c r="E484" s="3" t="s">
        <v>11</v>
      </c>
      <c r="F484" s="6">
        <v>45067</v>
      </c>
      <c r="G484" s="2">
        <v>129</v>
      </c>
      <c r="H484" s="9">
        <v>4.7</v>
      </c>
      <c r="I484">
        <f>ROUND(calls[[#This Row],[Satisfaction Rating]],0)</f>
        <v>5</v>
      </c>
      <c r="J484" t="str">
        <f>TEXT(calls[[#This Row],[Date of Call]],"DDDD")</f>
        <v>Sunday</v>
      </c>
    </row>
    <row r="485" spans="2:10" x14ac:dyDescent="0.25">
      <c r="B485" s="8" t="s">
        <v>507</v>
      </c>
      <c r="C485" s="2" t="s">
        <v>16</v>
      </c>
      <c r="D485" s="2">
        <v>107</v>
      </c>
      <c r="E485" s="3" t="s">
        <v>6</v>
      </c>
      <c r="F485" s="6">
        <v>45067</v>
      </c>
      <c r="G485" s="2">
        <v>115</v>
      </c>
      <c r="H485" s="9">
        <v>4.9000000000000004</v>
      </c>
      <c r="I485">
        <f>ROUND(calls[[#This Row],[Satisfaction Rating]],0)</f>
        <v>5</v>
      </c>
      <c r="J485" t="str">
        <f>TEXT(calls[[#This Row],[Date of Call]],"DDDD")</f>
        <v>Sunday</v>
      </c>
    </row>
    <row r="486" spans="2:10" x14ac:dyDescent="0.25">
      <c r="B486" s="8" t="s">
        <v>508</v>
      </c>
      <c r="C486" s="2" t="s">
        <v>16</v>
      </c>
      <c r="D486" s="2">
        <v>93</v>
      </c>
      <c r="E486" s="3" t="s">
        <v>6</v>
      </c>
      <c r="F486" s="6">
        <v>45067</v>
      </c>
      <c r="G486" s="2">
        <v>128</v>
      </c>
      <c r="H486" s="9">
        <v>3.9</v>
      </c>
      <c r="I486">
        <f>ROUND(calls[[#This Row],[Satisfaction Rating]],0)</f>
        <v>4</v>
      </c>
      <c r="J486" t="str">
        <f>TEXT(calls[[#This Row],[Date of Call]],"DDDD")</f>
        <v>Sunday</v>
      </c>
    </row>
    <row r="487" spans="2:10" x14ac:dyDescent="0.25">
      <c r="B487" s="8" t="s">
        <v>509</v>
      </c>
      <c r="C487" s="2" t="s">
        <v>16</v>
      </c>
      <c r="D487" s="2">
        <v>117</v>
      </c>
      <c r="E487" s="3" t="s">
        <v>11</v>
      </c>
      <c r="F487" s="6">
        <v>45067</v>
      </c>
      <c r="G487" s="2">
        <v>90</v>
      </c>
      <c r="H487" s="9">
        <v>4.5</v>
      </c>
      <c r="I487">
        <f>ROUND(calls[[#This Row],[Satisfaction Rating]],0)</f>
        <v>5</v>
      </c>
      <c r="J487" t="str">
        <f>TEXT(calls[[#This Row],[Date of Call]],"DDDD")</f>
        <v>Sunday</v>
      </c>
    </row>
    <row r="488" spans="2:10" x14ac:dyDescent="0.25">
      <c r="B488" s="8" t="s">
        <v>510</v>
      </c>
      <c r="C488" s="2" t="s">
        <v>24</v>
      </c>
      <c r="D488" s="2">
        <v>76</v>
      </c>
      <c r="E488" s="3" t="s">
        <v>13</v>
      </c>
      <c r="F488" s="6">
        <v>45068</v>
      </c>
      <c r="G488" s="2">
        <v>39</v>
      </c>
      <c r="H488" s="9">
        <v>4.5999999999999996</v>
      </c>
      <c r="I488">
        <f>ROUND(calls[[#This Row],[Satisfaction Rating]],0)</f>
        <v>5</v>
      </c>
      <c r="J488" t="str">
        <f>TEXT(calls[[#This Row],[Date of Call]],"DDDD")</f>
        <v>Monday</v>
      </c>
    </row>
    <row r="489" spans="2:10" x14ac:dyDescent="0.25">
      <c r="B489" s="8" t="s">
        <v>511</v>
      </c>
      <c r="C489" s="2" t="s">
        <v>18</v>
      </c>
      <c r="D489" s="2">
        <v>64</v>
      </c>
      <c r="E489" s="3" t="s">
        <v>6</v>
      </c>
      <c r="F489" s="6">
        <v>45068</v>
      </c>
      <c r="G489" s="2">
        <v>132</v>
      </c>
      <c r="H489" s="9">
        <v>3.3</v>
      </c>
      <c r="I489">
        <f>ROUND(calls[[#This Row],[Satisfaction Rating]],0)</f>
        <v>3</v>
      </c>
      <c r="J489" t="str">
        <f>TEXT(calls[[#This Row],[Date of Call]],"DDDD")</f>
        <v>Monday</v>
      </c>
    </row>
    <row r="490" spans="2:10" x14ac:dyDescent="0.25">
      <c r="B490" s="8" t="s">
        <v>512</v>
      </c>
      <c r="C490" s="2" t="s">
        <v>8</v>
      </c>
      <c r="D490" s="2">
        <v>33</v>
      </c>
      <c r="E490" s="3" t="s">
        <v>6</v>
      </c>
      <c r="F490" s="6">
        <v>45068</v>
      </c>
      <c r="G490" s="2">
        <v>170</v>
      </c>
      <c r="H490" s="9">
        <v>3.8</v>
      </c>
      <c r="I490">
        <f>ROUND(calls[[#This Row],[Satisfaction Rating]],0)</f>
        <v>4</v>
      </c>
      <c r="J490" t="str">
        <f>TEXT(calls[[#This Row],[Date of Call]],"DDDD")</f>
        <v>Monday</v>
      </c>
    </row>
    <row r="491" spans="2:10" x14ac:dyDescent="0.25">
      <c r="B491" s="8" t="s">
        <v>513</v>
      </c>
      <c r="C491" s="2" t="s">
        <v>16</v>
      </c>
      <c r="D491" s="2">
        <v>115</v>
      </c>
      <c r="E491" s="3" t="s">
        <v>11</v>
      </c>
      <c r="F491" s="6">
        <v>45068</v>
      </c>
      <c r="G491" s="2">
        <v>42</v>
      </c>
      <c r="H491" s="9">
        <v>4.7</v>
      </c>
      <c r="I491">
        <f>ROUND(calls[[#This Row],[Satisfaction Rating]],0)</f>
        <v>5</v>
      </c>
      <c r="J491" t="str">
        <f>TEXT(calls[[#This Row],[Date of Call]],"DDDD")</f>
        <v>Monday</v>
      </c>
    </row>
    <row r="492" spans="2:10" x14ac:dyDescent="0.25">
      <c r="B492" s="8" t="s">
        <v>514</v>
      </c>
      <c r="C492" s="2" t="s">
        <v>21</v>
      </c>
      <c r="D492" s="2">
        <v>155</v>
      </c>
      <c r="E492" s="3" t="s">
        <v>13</v>
      </c>
      <c r="F492" s="6">
        <v>45069</v>
      </c>
      <c r="G492" s="2">
        <v>37</v>
      </c>
      <c r="H492" s="9">
        <v>4</v>
      </c>
      <c r="I492">
        <f>ROUND(calls[[#This Row],[Satisfaction Rating]],0)</f>
        <v>4</v>
      </c>
      <c r="J492" t="str">
        <f>TEXT(calls[[#This Row],[Date of Call]],"DDDD")</f>
        <v>Tuesday</v>
      </c>
    </row>
    <row r="493" spans="2:10" x14ac:dyDescent="0.25">
      <c r="B493" s="8" t="s">
        <v>515</v>
      </c>
      <c r="C493" s="2" t="s">
        <v>12</v>
      </c>
      <c r="D493" s="2">
        <v>117</v>
      </c>
      <c r="E493" s="3" t="s">
        <v>13</v>
      </c>
      <c r="F493" s="6">
        <v>45069</v>
      </c>
      <c r="G493" s="2">
        <v>88</v>
      </c>
      <c r="H493" s="9">
        <v>4.7</v>
      </c>
      <c r="I493">
        <f>ROUND(calls[[#This Row],[Satisfaction Rating]],0)</f>
        <v>5</v>
      </c>
      <c r="J493" t="str">
        <f>TEXT(calls[[#This Row],[Date of Call]],"DDDD")</f>
        <v>Tuesday</v>
      </c>
    </row>
    <row r="494" spans="2:10" x14ac:dyDescent="0.25">
      <c r="B494" s="8" t="s">
        <v>516</v>
      </c>
      <c r="C494" s="2" t="s">
        <v>5</v>
      </c>
      <c r="D494" s="2">
        <v>63</v>
      </c>
      <c r="E494" s="3" t="s">
        <v>13</v>
      </c>
      <c r="F494" s="6">
        <v>45069</v>
      </c>
      <c r="G494" s="2">
        <v>80</v>
      </c>
      <c r="H494" s="9">
        <v>2.5</v>
      </c>
      <c r="I494">
        <f>ROUND(calls[[#This Row],[Satisfaction Rating]],0)</f>
        <v>3</v>
      </c>
      <c r="J494" t="str">
        <f>TEXT(calls[[#This Row],[Date of Call]],"DDDD")</f>
        <v>Tuesday</v>
      </c>
    </row>
    <row r="495" spans="2:10" x14ac:dyDescent="0.25">
      <c r="B495" s="8" t="s">
        <v>517</v>
      </c>
      <c r="C495" s="2" t="s">
        <v>18</v>
      </c>
      <c r="D495" s="2">
        <v>59</v>
      </c>
      <c r="E495" s="3" t="s">
        <v>10</v>
      </c>
      <c r="F495" s="6">
        <v>45070</v>
      </c>
      <c r="G495" s="2">
        <v>123</v>
      </c>
      <c r="H495" s="9">
        <v>3.6</v>
      </c>
      <c r="I495">
        <f>ROUND(calls[[#This Row],[Satisfaction Rating]],0)</f>
        <v>4</v>
      </c>
      <c r="J495" t="str">
        <f>TEXT(calls[[#This Row],[Date of Call]],"DDDD")</f>
        <v>Wednesday</v>
      </c>
    </row>
    <row r="496" spans="2:10" x14ac:dyDescent="0.25">
      <c r="B496" s="8" t="s">
        <v>518</v>
      </c>
      <c r="C496" s="2" t="s">
        <v>7</v>
      </c>
      <c r="D496" s="2">
        <v>133</v>
      </c>
      <c r="E496" s="3" t="s">
        <v>6</v>
      </c>
      <c r="F496" s="6">
        <v>45070</v>
      </c>
      <c r="G496" s="2">
        <v>31</v>
      </c>
      <c r="H496" s="9">
        <v>3.7</v>
      </c>
      <c r="I496">
        <f>ROUND(calls[[#This Row],[Satisfaction Rating]],0)</f>
        <v>4</v>
      </c>
      <c r="J496" t="str">
        <f>TEXT(calls[[#This Row],[Date of Call]],"DDDD")</f>
        <v>Wednesday</v>
      </c>
    </row>
    <row r="497" spans="2:10" x14ac:dyDescent="0.25">
      <c r="B497" s="8" t="s">
        <v>519</v>
      </c>
      <c r="C497" s="2" t="s">
        <v>17</v>
      </c>
      <c r="D497" s="2">
        <v>101</v>
      </c>
      <c r="E497" s="3" t="s">
        <v>9</v>
      </c>
      <c r="F497" s="6">
        <v>45070</v>
      </c>
      <c r="G497" s="2">
        <v>205</v>
      </c>
      <c r="H497" s="9">
        <v>3.9</v>
      </c>
      <c r="I497">
        <f>ROUND(calls[[#This Row],[Satisfaction Rating]],0)</f>
        <v>4</v>
      </c>
      <c r="J497" t="str">
        <f>TEXT(calls[[#This Row],[Date of Call]],"DDDD")</f>
        <v>Wednesday</v>
      </c>
    </row>
    <row r="498" spans="2:10" x14ac:dyDescent="0.25">
      <c r="B498" s="8" t="s">
        <v>520</v>
      </c>
      <c r="C498" s="2" t="s">
        <v>14</v>
      </c>
      <c r="D498" s="2">
        <v>151</v>
      </c>
      <c r="E498" s="3" t="s">
        <v>13</v>
      </c>
      <c r="F498" s="6">
        <v>45071</v>
      </c>
      <c r="G498" s="2">
        <v>123</v>
      </c>
      <c r="H498" s="9">
        <v>3.7</v>
      </c>
      <c r="I498">
        <f>ROUND(calls[[#This Row],[Satisfaction Rating]],0)</f>
        <v>4</v>
      </c>
      <c r="J498" t="str">
        <f>TEXT(calls[[#This Row],[Date of Call]],"DDDD")</f>
        <v>Thursday</v>
      </c>
    </row>
    <row r="499" spans="2:10" x14ac:dyDescent="0.25">
      <c r="B499" s="8" t="s">
        <v>521</v>
      </c>
      <c r="C499" s="2" t="s">
        <v>8</v>
      </c>
      <c r="D499" s="2">
        <v>146</v>
      </c>
      <c r="E499" s="3" t="s">
        <v>6</v>
      </c>
      <c r="F499" s="6">
        <v>45071</v>
      </c>
      <c r="G499" s="2">
        <v>123</v>
      </c>
      <c r="H499" s="9">
        <v>4.3</v>
      </c>
      <c r="I499">
        <f>ROUND(calls[[#This Row],[Satisfaction Rating]],0)</f>
        <v>4</v>
      </c>
      <c r="J499" t="str">
        <f>TEXT(calls[[#This Row],[Date of Call]],"DDDD")</f>
        <v>Thursday</v>
      </c>
    </row>
    <row r="500" spans="2:10" x14ac:dyDescent="0.25">
      <c r="B500" s="8" t="s">
        <v>522</v>
      </c>
      <c r="C500" s="2" t="s">
        <v>5</v>
      </c>
      <c r="D500" s="2">
        <v>148</v>
      </c>
      <c r="E500" s="3" t="s">
        <v>6</v>
      </c>
      <c r="F500" s="6">
        <v>45071</v>
      </c>
      <c r="G500" s="2">
        <v>36</v>
      </c>
      <c r="H500" s="9">
        <v>2.9</v>
      </c>
      <c r="I500">
        <f>ROUND(calls[[#This Row],[Satisfaction Rating]],0)</f>
        <v>3</v>
      </c>
      <c r="J500" t="str">
        <f>TEXT(calls[[#This Row],[Date of Call]],"DDDD")</f>
        <v>Thursday</v>
      </c>
    </row>
    <row r="501" spans="2:10" x14ac:dyDescent="0.25">
      <c r="B501" s="8" t="s">
        <v>523</v>
      </c>
      <c r="C501" s="2" t="s">
        <v>14</v>
      </c>
      <c r="D501" s="2">
        <v>81</v>
      </c>
      <c r="E501" s="3" t="s">
        <v>6</v>
      </c>
      <c r="F501" s="6">
        <v>45071</v>
      </c>
      <c r="G501" s="2">
        <v>116</v>
      </c>
      <c r="H501" s="9">
        <v>4.3</v>
      </c>
      <c r="I501">
        <f>ROUND(calls[[#This Row],[Satisfaction Rating]],0)</f>
        <v>4</v>
      </c>
      <c r="J501" t="str">
        <f>TEXT(calls[[#This Row],[Date of Call]],"DDDD")</f>
        <v>Thursday</v>
      </c>
    </row>
    <row r="502" spans="2:10" x14ac:dyDescent="0.25">
      <c r="B502" s="8" t="s">
        <v>524</v>
      </c>
      <c r="C502" s="2" t="s">
        <v>22</v>
      </c>
      <c r="D502" s="2">
        <v>115</v>
      </c>
      <c r="E502" s="3" t="s">
        <v>6</v>
      </c>
      <c r="F502" s="6">
        <v>45071</v>
      </c>
      <c r="G502" s="2">
        <v>40</v>
      </c>
      <c r="H502" s="9">
        <v>4.9000000000000004</v>
      </c>
      <c r="I502">
        <f>ROUND(calls[[#This Row],[Satisfaction Rating]],0)</f>
        <v>5</v>
      </c>
      <c r="J502" t="str">
        <f>TEXT(calls[[#This Row],[Date of Call]],"DDDD")</f>
        <v>Thursday</v>
      </c>
    </row>
    <row r="503" spans="2:10" x14ac:dyDescent="0.25">
      <c r="B503" s="8" t="s">
        <v>525</v>
      </c>
      <c r="C503" s="2" t="s">
        <v>22</v>
      </c>
      <c r="D503" s="2">
        <v>117</v>
      </c>
      <c r="E503" s="3" t="s">
        <v>13</v>
      </c>
      <c r="F503" s="6">
        <v>45071</v>
      </c>
      <c r="G503" s="2">
        <v>40</v>
      </c>
      <c r="H503" s="9">
        <v>4</v>
      </c>
      <c r="I503">
        <f>ROUND(calls[[#This Row],[Satisfaction Rating]],0)</f>
        <v>4</v>
      </c>
      <c r="J503" t="str">
        <f>TEXT(calls[[#This Row],[Date of Call]],"DDDD")</f>
        <v>Thursday</v>
      </c>
    </row>
    <row r="504" spans="2:10" x14ac:dyDescent="0.25">
      <c r="B504" s="8" t="s">
        <v>526</v>
      </c>
      <c r="C504" s="2" t="s">
        <v>17</v>
      </c>
      <c r="D504" s="2">
        <v>110</v>
      </c>
      <c r="E504" s="3" t="s">
        <v>11</v>
      </c>
      <c r="F504" s="6">
        <v>45072</v>
      </c>
      <c r="G504" s="2">
        <v>82</v>
      </c>
      <c r="H504" s="9">
        <v>4</v>
      </c>
      <c r="I504">
        <f>ROUND(calls[[#This Row],[Satisfaction Rating]],0)</f>
        <v>4</v>
      </c>
      <c r="J504" t="str">
        <f>TEXT(calls[[#This Row],[Date of Call]],"DDDD")</f>
        <v>Friday</v>
      </c>
    </row>
    <row r="505" spans="2:10" x14ac:dyDescent="0.25">
      <c r="B505" s="8" t="s">
        <v>527</v>
      </c>
      <c r="C505" s="2" t="s">
        <v>24</v>
      </c>
      <c r="D505" s="2">
        <v>103</v>
      </c>
      <c r="E505" s="3" t="s">
        <v>10</v>
      </c>
      <c r="F505" s="6">
        <v>45072</v>
      </c>
      <c r="G505" s="2">
        <v>62</v>
      </c>
      <c r="H505" s="9">
        <v>3.4</v>
      </c>
      <c r="I505">
        <f>ROUND(calls[[#This Row],[Satisfaction Rating]],0)</f>
        <v>3</v>
      </c>
      <c r="J505" t="str">
        <f>TEXT(calls[[#This Row],[Date of Call]],"DDDD")</f>
        <v>Friday</v>
      </c>
    </row>
    <row r="506" spans="2:10" x14ac:dyDescent="0.25">
      <c r="B506" s="8" t="s">
        <v>528</v>
      </c>
      <c r="C506" s="2" t="s">
        <v>21</v>
      </c>
      <c r="D506" s="2">
        <v>45</v>
      </c>
      <c r="E506" s="3" t="s">
        <v>10</v>
      </c>
      <c r="F506" s="6">
        <v>45072</v>
      </c>
      <c r="G506" s="2">
        <v>135</v>
      </c>
      <c r="H506" s="9">
        <v>3.9</v>
      </c>
      <c r="I506">
        <f>ROUND(calls[[#This Row],[Satisfaction Rating]],0)</f>
        <v>4</v>
      </c>
      <c r="J506" t="str">
        <f>TEXT(calls[[#This Row],[Date of Call]],"DDDD")</f>
        <v>Friday</v>
      </c>
    </row>
    <row r="507" spans="2:10" x14ac:dyDescent="0.25">
      <c r="B507" s="8" t="s">
        <v>529</v>
      </c>
      <c r="C507" s="2" t="s">
        <v>17</v>
      </c>
      <c r="D507" s="2">
        <v>110</v>
      </c>
      <c r="E507" s="3" t="s">
        <v>9</v>
      </c>
      <c r="F507" s="6">
        <v>45072</v>
      </c>
      <c r="G507" s="2">
        <v>155</v>
      </c>
      <c r="H507" s="9">
        <v>2.1</v>
      </c>
      <c r="I507">
        <f>ROUND(calls[[#This Row],[Satisfaction Rating]],0)</f>
        <v>2</v>
      </c>
      <c r="J507" t="str">
        <f>TEXT(calls[[#This Row],[Date of Call]],"DDDD")</f>
        <v>Friday</v>
      </c>
    </row>
    <row r="508" spans="2:10" x14ac:dyDescent="0.25">
      <c r="B508" s="8" t="s">
        <v>530</v>
      </c>
      <c r="C508" s="2" t="s">
        <v>18</v>
      </c>
      <c r="D508" s="2">
        <v>43</v>
      </c>
      <c r="E508" s="3" t="s">
        <v>11</v>
      </c>
      <c r="F508" s="6">
        <v>45072</v>
      </c>
      <c r="G508" s="2">
        <v>37</v>
      </c>
      <c r="H508" s="9">
        <v>4.9000000000000004</v>
      </c>
      <c r="I508">
        <f>ROUND(calls[[#This Row],[Satisfaction Rating]],0)</f>
        <v>5</v>
      </c>
      <c r="J508" t="str">
        <f>TEXT(calls[[#This Row],[Date of Call]],"DDDD")</f>
        <v>Friday</v>
      </c>
    </row>
    <row r="509" spans="2:10" x14ac:dyDescent="0.25">
      <c r="B509" s="8" t="s">
        <v>531</v>
      </c>
      <c r="C509" s="2" t="s">
        <v>17</v>
      </c>
      <c r="D509" s="2">
        <v>104</v>
      </c>
      <c r="E509" s="3" t="s">
        <v>13</v>
      </c>
      <c r="F509" s="6">
        <v>45073</v>
      </c>
      <c r="G509" s="2">
        <v>56</v>
      </c>
      <c r="H509" s="9">
        <v>3.4</v>
      </c>
      <c r="I509">
        <f>ROUND(calls[[#This Row],[Satisfaction Rating]],0)</f>
        <v>3</v>
      </c>
      <c r="J509" t="str">
        <f>TEXT(calls[[#This Row],[Date of Call]],"DDDD")</f>
        <v>Saturday</v>
      </c>
    </row>
    <row r="510" spans="2:10" x14ac:dyDescent="0.25">
      <c r="B510" s="8" t="s">
        <v>532</v>
      </c>
      <c r="C510" s="2" t="s">
        <v>17</v>
      </c>
      <c r="D510" s="2">
        <v>101</v>
      </c>
      <c r="E510" s="3" t="s">
        <v>13</v>
      </c>
      <c r="F510" s="6">
        <v>45073</v>
      </c>
      <c r="G510" s="2">
        <v>185</v>
      </c>
      <c r="H510" s="9">
        <v>5</v>
      </c>
      <c r="I510">
        <f>ROUND(calls[[#This Row],[Satisfaction Rating]],0)</f>
        <v>5</v>
      </c>
      <c r="J510" t="str">
        <f>TEXT(calls[[#This Row],[Date of Call]],"DDDD")</f>
        <v>Saturday</v>
      </c>
    </row>
    <row r="511" spans="2:10" x14ac:dyDescent="0.25">
      <c r="B511" s="8" t="s">
        <v>533</v>
      </c>
      <c r="C511" s="2" t="s">
        <v>20</v>
      </c>
      <c r="D511" s="2">
        <v>55</v>
      </c>
      <c r="E511" s="3" t="s">
        <v>11</v>
      </c>
      <c r="F511" s="6">
        <v>45074</v>
      </c>
      <c r="G511" s="2">
        <v>145</v>
      </c>
      <c r="H511" s="9">
        <v>4.5</v>
      </c>
      <c r="I511">
        <f>ROUND(calls[[#This Row],[Satisfaction Rating]],0)</f>
        <v>5</v>
      </c>
      <c r="J511" t="str">
        <f>TEXT(calls[[#This Row],[Date of Call]],"DDDD")</f>
        <v>Sunday</v>
      </c>
    </row>
    <row r="512" spans="2:10" x14ac:dyDescent="0.25">
      <c r="B512" s="8" t="s">
        <v>534</v>
      </c>
      <c r="C512" s="2" t="s">
        <v>14</v>
      </c>
      <c r="D512" s="2">
        <v>40</v>
      </c>
      <c r="E512" s="3" t="s">
        <v>10</v>
      </c>
      <c r="F512" s="6">
        <v>45074</v>
      </c>
      <c r="G512" s="2">
        <v>116</v>
      </c>
      <c r="H512" s="9">
        <v>2.6</v>
      </c>
      <c r="I512">
        <f>ROUND(calls[[#This Row],[Satisfaction Rating]],0)</f>
        <v>3</v>
      </c>
      <c r="J512" t="str">
        <f>TEXT(calls[[#This Row],[Date of Call]],"DDDD")</f>
        <v>Sunday</v>
      </c>
    </row>
    <row r="513" spans="2:10" x14ac:dyDescent="0.25">
      <c r="B513" s="8" t="s">
        <v>535</v>
      </c>
      <c r="C513" s="2" t="s">
        <v>18</v>
      </c>
      <c r="D513" s="2">
        <v>122</v>
      </c>
      <c r="E513" s="3" t="s">
        <v>6</v>
      </c>
      <c r="F513" s="6">
        <v>45074</v>
      </c>
      <c r="G513" s="2">
        <v>45</v>
      </c>
      <c r="H513" s="9">
        <v>4.2</v>
      </c>
      <c r="I513">
        <f>ROUND(calls[[#This Row],[Satisfaction Rating]],0)</f>
        <v>4</v>
      </c>
      <c r="J513" t="str">
        <f>TEXT(calls[[#This Row],[Date of Call]],"DDDD")</f>
        <v>Sunday</v>
      </c>
    </row>
    <row r="514" spans="2:10" x14ac:dyDescent="0.25">
      <c r="B514" s="8" t="s">
        <v>536</v>
      </c>
      <c r="C514" s="2" t="s">
        <v>8</v>
      </c>
      <c r="D514" s="2">
        <v>98</v>
      </c>
      <c r="E514" s="3" t="s">
        <v>13</v>
      </c>
      <c r="F514" s="6">
        <v>45075</v>
      </c>
      <c r="G514" s="2">
        <v>35</v>
      </c>
      <c r="H514" s="9">
        <v>4.5</v>
      </c>
      <c r="I514">
        <f>ROUND(calls[[#This Row],[Satisfaction Rating]],0)</f>
        <v>5</v>
      </c>
      <c r="J514" t="str">
        <f>TEXT(calls[[#This Row],[Date of Call]],"DDDD")</f>
        <v>Monday</v>
      </c>
    </row>
    <row r="515" spans="2:10" x14ac:dyDescent="0.25">
      <c r="B515" s="8" t="s">
        <v>537</v>
      </c>
      <c r="C515" s="2" t="s">
        <v>22</v>
      </c>
      <c r="D515" s="2">
        <v>110</v>
      </c>
      <c r="E515" s="3" t="s">
        <v>10</v>
      </c>
      <c r="F515" s="6">
        <v>45075</v>
      </c>
      <c r="G515" s="2">
        <v>100</v>
      </c>
      <c r="H515" s="9">
        <v>4.4000000000000004</v>
      </c>
      <c r="I515">
        <f>ROUND(calls[[#This Row],[Satisfaction Rating]],0)</f>
        <v>4</v>
      </c>
      <c r="J515" t="str">
        <f>TEXT(calls[[#This Row],[Date of Call]],"DDDD")</f>
        <v>Monday</v>
      </c>
    </row>
    <row r="516" spans="2:10" x14ac:dyDescent="0.25">
      <c r="B516" s="8" t="s">
        <v>538</v>
      </c>
      <c r="C516" s="2" t="s">
        <v>22</v>
      </c>
      <c r="D516" s="2">
        <v>62</v>
      </c>
      <c r="E516" s="3" t="s">
        <v>11</v>
      </c>
      <c r="F516" s="6">
        <v>45076</v>
      </c>
      <c r="G516" s="2">
        <v>125</v>
      </c>
      <c r="H516" s="9">
        <v>3.5</v>
      </c>
      <c r="I516">
        <f>ROUND(calls[[#This Row],[Satisfaction Rating]],0)</f>
        <v>4</v>
      </c>
      <c r="J516" t="str">
        <f>TEXT(calls[[#This Row],[Date of Call]],"DDDD")</f>
        <v>Tuesday</v>
      </c>
    </row>
    <row r="517" spans="2:10" x14ac:dyDescent="0.25">
      <c r="B517" s="8" t="s">
        <v>539</v>
      </c>
      <c r="C517" s="2" t="s">
        <v>18</v>
      </c>
      <c r="D517" s="2">
        <v>134</v>
      </c>
      <c r="E517" s="3" t="s">
        <v>6</v>
      </c>
      <c r="F517" s="6">
        <v>45076</v>
      </c>
      <c r="G517" s="2">
        <v>120</v>
      </c>
      <c r="H517" s="9">
        <v>3</v>
      </c>
      <c r="I517">
        <f>ROUND(calls[[#This Row],[Satisfaction Rating]],0)</f>
        <v>3</v>
      </c>
      <c r="J517" t="str">
        <f>TEXT(calls[[#This Row],[Date of Call]],"DDDD")</f>
        <v>Tuesday</v>
      </c>
    </row>
    <row r="518" spans="2:10" x14ac:dyDescent="0.25">
      <c r="B518" s="8" t="s">
        <v>540</v>
      </c>
      <c r="C518" s="2" t="s">
        <v>19</v>
      </c>
      <c r="D518" s="2">
        <v>94</v>
      </c>
      <c r="E518" s="3" t="s">
        <v>9</v>
      </c>
      <c r="F518" s="6">
        <v>45076</v>
      </c>
      <c r="G518" s="2">
        <v>180</v>
      </c>
      <c r="H518" s="9">
        <v>4.7</v>
      </c>
      <c r="I518">
        <f>ROUND(calls[[#This Row],[Satisfaction Rating]],0)</f>
        <v>5</v>
      </c>
      <c r="J518" t="str">
        <f>TEXT(calls[[#This Row],[Date of Call]],"DDDD")</f>
        <v>Tuesday</v>
      </c>
    </row>
    <row r="519" spans="2:10" x14ac:dyDescent="0.25">
      <c r="B519" s="8" t="s">
        <v>541</v>
      </c>
      <c r="C519" s="2" t="s">
        <v>15</v>
      </c>
      <c r="D519" s="2">
        <v>63</v>
      </c>
      <c r="E519" s="3" t="s">
        <v>10</v>
      </c>
      <c r="F519" s="6">
        <v>45076</v>
      </c>
      <c r="G519" s="2">
        <v>44</v>
      </c>
      <c r="H519" s="9">
        <v>3</v>
      </c>
      <c r="I519">
        <f>ROUND(calls[[#This Row],[Satisfaction Rating]],0)</f>
        <v>3</v>
      </c>
      <c r="J519" t="str">
        <f>TEXT(calls[[#This Row],[Date of Call]],"DDDD")</f>
        <v>Tuesday</v>
      </c>
    </row>
    <row r="520" spans="2:10" x14ac:dyDescent="0.25">
      <c r="B520" s="8" t="s">
        <v>542</v>
      </c>
      <c r="C520" s="2" t="s">
        <v>7</v>
      </c>
      <c r="D520" s="2">
        <v>95</v>
      </c>
      <c r="E520" s="3" t="s">
        <v>6</v>
      </c>
      <c r="F520" s="6">
        <v>45076</v>
      </c>
      <c r="G520" s="2">
        <v>86</v>
      </c>
      <c r="H520" s="9">
        <v>3.6</v>
      </c>
      <c r="I520">
        <f>ROUND(calls[[#This Row],[Satisfaction Rating]],0)</f>
        <v>4</v>
      </c>
      <c r="J520" t="str">
        <f>TEXT(calls[[#This Row],[Date of Call]],"DDDD")</f>
        <v>Tuesday</v>
      </c>
    </row>
    <row r="521" spans="2:10" x14ac:dyDescent="0.25">
      <c r="B521" s="8" t="s">
        <v>543</v>
      </c>
      <c r="C521" s="2" t="s">
        <v>18</v>
      </c>
      <c r="D521" s="2">
        <v>106</v>
      </c>
      <c r="E521" s="3" t="s">
        <v>6</v>
      </c>
      <c r="F521" s="6">
        <v>45077</v>
      </c>
      <c r="G521" s="2">
        <v>120</v>
      </c>
      <c r="H521" s="9">
        <v>4.0999999999999996</v>
      </c>
      <c r="I521">
        <f>ROUND(calls[[#This Row],[Satisfaction Rating]],0)</f>
        <v>4</v>
      </c>
      <c r="J521" t="str">
        <f>TEXT(calls[[#This Row],[Date of Call]],"DDDD")</f>
        <v>Wednesday</v>
      </c>
    </row>
    <row r="522" spans="2:10" x14ac:dyDescent="0.25">
      <c r="B522" s="8" t="s">
        <v>544</v>
      </c>
      <c r="C522" s="2" t="s">
        <v>21</v>
      </c>
      <c r="D522" s="2">
        <v>94</v>
      </c>
      <c r="E522" s="3" t="s">
        <v>9</v>
      </c>
      <c r="F522" s="6">
        <v>45077</v>
      </c>
      <c r="G522" s="2">
        <v>100</v>
      </c>
      <c r="H522" s="9">
        <v>3.7</v>
      </c>
      <c r="I522">
        <f>ROUND(calls[[#This Row],[Satisfaction Rating]],0)</f>
        <v>4</v>
      </c>
      <c r="J522" t="str">
        <f>TEXT(calls[[#This Row],[Date of Call]],"DDDD")</f>
        <v>Wednesday</v>
      </c>
    </row>
    <row r="523" spans="2:10" x14ac:dyDescent="0.25">
      <c r="B523" s="8" t="s">
        <v>545</v>
      </c>
      <c r="C523" s="2" t="s">
        <v>21</v>
      </c>
      <c r="D523" s="2">
        <v>51</v>
      </c>
      <c r="E523" s="3" t="s">
        <v>9</v>
      </c>
      <c r="F523" s="6">
        <v>45078</v>
      </c>
      <c r="G523" s="2">
        <v>108</v>
      </c>
      <c r="H523" s="9">
        <v>4.5</v>
      </c>
      <c r="I523">
        <f>ROUND(calls[[#This Row],[Satisfaction Rating]],0)</f>
        <v>5</v>
      </c>
      <c r="J523" t="str">
        <f>TEXT(calls[[#This Row],[Date of Call]],"DDDD")</f>
        <v>Thursday</v>
      </c>
    </row>
    <row r="524" spans="2:10" x14ac:dyDescent="0.25">
      <c r="B524" s="8" t="s">
        <v>546</v>
      </c>
      <c r="C524" s="2" t="s">
        <v>5</v>
      </c>
      <c r="D524" s="2">
        <v>39</v>
      </c>
      <c r="E524" s="3" t="s">
        <v>9</v>
      </c>
      <c r="F524" s="6">
        <v>45078</v>
      </c>
      <c r="G524" s="2">
        <v>46</v>
      </c>
      <c r="H524" s="9">
        <v>4.5999999999999996</v>
      </c>
      <c r="I524">
        <f>ROUND(calls[[#This Row],[Satisfaction Rating]],0)</f>
        <v>5</v>
      </c>
      <c r="J524" t="str">
        <f>TEXT(calls[[#This Row],[Date of Call]],"DDDD")</f>
        <v>Thursday</v>
      </c>
    </row>
    <row r="525" spans="2:10" x14ac:dyDescent="0.25">
      <c r="B525" s="8" t="s">
        <v>547</v>
      </c>
      <c r="C525" s="2" t="s">
        <v>14</v>
      </c>
      <c r="D525" s="2">
        <v>111</v>
      </c>
      <c r="E525" s="3" t="s">
        <v>6</v>
      </c>
      <c r="F525" s="6">
        <v>45078</v>
      </c>
      <c r="G525" s="2">
        <v>210</v>
      </c>
      <c r="H525" s="9">
        <v>4.3</v>
      </c>
      <c r="I525">
        <f>ROUND(calls[[#This Row],[Satisfaction Rating]],0)</f>
        <v>4</v>
      </c>
      <c r="J525" t="str">
        <f>TEXT(calls[[#This Row],[Date of Call]],"DDDD")</f>
        <v>Thursday</v>
      </c>
    </row>
    <row r="526" spans="2:10" x14ac:dyDescent="0.25">
      <c r="B526" s="8" t="s">
        <v>548</v>
      </c>
      <c r="C526" s="2" t="s">
        <v>16</v>
      </c>
      <c r="D526" s="2">
        <v>141</v>
      </c>
      <c r="E526" s="3" t="s">
        <v>11</v>
      </c>
      <c r="F526" s="6">
        <v>45080</v>
      </c>
      <c r="G526" s="2">
        <v>54</v>
      </c>
      <c r="H526" s="9">
        <v>4.8</v>
      </c>
      <c r="I526">
        <f>ROUND(calls[[#This Row],[Satisfaction Rating]],0)</f>
        <v>5</v>
      </c>
      <c r="J526" t="str">
        <f>TEXT(calls[[#This Row],[Date of Call]],"DDDD")</f>
        <v>Saturday</v>
      </c>
    </row>
    <row r="527" spans="2:10" x14ac:dyDescent="0.25">
      <c r="B527" s="8" t="s">
        <v>549</v>
      </c>
      <c r="C527" s="2" t="s">
        <v>15</v>
      </c>
      <c r="D527" s="2">
        <v>147</v>
      </c>
      <c r="E527" s="3" t="s">
        <v>6</v>
      </c>
      <c r="F527" s="6">
        <v>45080</v>
      </c>
      <c r="G527" s="2">
        <v>115</v>
      </c>
      <c r="H527" s="9">
        <v>4.7</v>
      </c>
      <c r="I527">
        <f>ROUND(calls[[#This Row],[Satisfaction Rating]],0)</f>
        <v>5</v>
      </c>
      <c r="J527" t="str">
        <f>TEXT(calls[[#This Row],[Date of Call]],"DDDD")</f>
        <v>Saturday</v>
      </c>
    </row>
    <row r="528" spans="2:10" x14ac:dyDescent="0.25">
      <c r="B528" s="8" t="s">
        <v>550</v>
      </c>
      <c r="C528" s="2" t="s">
        <v>19</v>
      </c>
      <c r="D528" s="2">
        <v>49</v>
      </c>
      <c r="E528" s="3" t="s">
        <v>9</v>
      </c>
      <c r="F528" s="6">
        <v>45081</v>
      </c>
      <c r="G528" s="2">
        <v>100</v>
      </c>
      <c r="H528" s="9">
        <v>2.2000000000000002</v>
      </c>
      <c r="I528">
        <f>ROUND(calls[[#This Row],[Satisfaction Rating]],0)</f>
        <v>2</v>
      </c>
      <c r="J528" t="str">
        <f>TEXT(calls[[#This Row],[Date of Call]],"DDDD")</f>
        <v>Sunday</v>
      </c>
    </row>
    <row r="529" spans="2:10" x14ac:dyDescent="0.25">
      <c r="B529" s="8" t="s">
        <v>551</v>
      </c>
      <c r="C529" s="2" t="s">
        <v>23</v>
      </c>
      <c r="D529" s="2">
        <v>75</v>
      </c>
      <c r="E529" s="3" t="s">
        <v>6</v>
      </c>
      <c r="F529" s="6">
        <v>45081</v>
      </c>
      <c r="G529" s="2">
        <v>38</v>
      </c>
      <c r="H529" s="9">
        <v>4.4000000000000004</v>
      </c>
      <c r="I529">
        <f>ROUND(calls[[#This Row],[Satisfaction Rating]],0)</f>
        <v>4</v>
      </c>
      <c r="J529" t="str">
        <f>TEXT(calls[[#This Row],[Date of Call]],"DDDD")</f>
        <v>Sunday</v>
      </c>
    </row>
    <row r="530" spans="2:10" x14ac:dyDescent="0.25">
      <c r="B530" s="8" t="s">
        <v>552</v>
      </c>
      <c r="C530" s="2" t="s">
        <v>16</v>
      </c>
      <c r="D530" s="2">
        <v>48</v>
      </c>
      <c r="E530" s="3" t="s">
        <v>11</v>
      </c>
      <c r="F530" s="6">
        <v>45082</v>
      </c>
      <c r="G530" s="2">
        <v>120</v>
      </c>
      <c r="H530" s="9">
        <v>4.0999999999999996</v>
      </c>
      <c r="I530">
        <f>ROUND(calls[[#This Row],[Satisfaction Rating]],0)</f>
        <v>4</v>
      </c>
      <c r="J530" t="str">
        <f>TEXT(calls[[#This Row],[Date of Call]],"DDDD")</f>
        <v>Monday</v>
      </c>
    </row>
    <row r="531" spans="2:10" x14ac:dyDescent="0.25">
      <c r="B531" s="8" t="s">
        <v>553</v>
      </c>
      <c r="C531" s="2" t="s">
        <v>22</v>
      </c>
      <c r="D531" s="2">
        <v>48</v>
      </c>
      <c r="E531" s="3" t="s">
        <v>11</v>
      </c>
      <c r="F531" s="6">
        <v>45082</v>
      </c>
      <c r="G531" s="2">
        <v>120</v>
      </c>
      <c r="H531" s="9">
        <v>4.0999999999999996</v>
      </c>
      <c r="I531">
        <f>ROUND(calls[[#This Row],[Satisfaction Rating]],0)</f>
        <v>4</v>
      </c>
      <c r="J531" t="str">
        <f>TEXT(calls[[#This Row],[Date of Call]],"DDDD")</f>
        <v>Monday</v>
      </c>
    </row>
    <row r="532" spans="2:10" x14ac:dyDescent="0.25">
      <c r="B532" s="8" t="s">
        <v>554</v>
      </c>
      <c r="C532" s="2" t="s">
        <v>12</v>
      </c>
      <c r="D532" s="2">
        <v>138</v>
      </c>
      <c r="E532" s="3" t="s">
        <v>9</v>
      </c>
      <c r="F532" s="6">
        <v>45082</v>
      </c>
      <c r="G532" s="2">
        <v>29</v>
      </c>
      <c r="H532" s="9">
        <v>4.4000000000000004</v>
      </c>
      <c r="I532">
        <f>ROUND(calls[[#This Row],[Satisfaction Rating]],0)</f>
        <v>4</v>
      </c>
      <c r="J532" t="str">
        <f>TEXT(calls[[#This Row],[Date of Call]],"DDDD")</f>
        <v>Monday</v>
      </c>
    </row>
    <row r="533" spans="2:10" x14ac:dyDescent="0.25">
      <c r="B533" s="8" t="s">
        <v>555</v>
      </c>
      <c r="C533" s="2" t="s">
        <v>7</v>
      </c>
      <c r="D533" s="2">
        <v>144</v>
      </c>
      <c r="E533" s="3" t="s">
        <v>9</v>
      </c>
      <c r="F533" s="6">
        <v>45083</v>
      </c>
      <c r="G533" s="2">
        <v>25</v>
      </c>
      <c r="H533" s="9">
        <v>3.7</v>
      </c>
      <c r="I533">
        <f>ROUND(calls[[#This Row],[Satisfaction Rating]],0)</f>
        <v>4</v>
      </c>
      <c r="J533" t="str">
        <f>TEXT(calls[[#This Row],[Date of Call]],"DDDD")</f>
        <v>Tuesday</v>
      </c>
    </row>
    <row r="534" spans="2:10" x14ac:dyDescent="0.25">
      <c r="B534" s="8" t="s">
        <v>556</v>
      </c>
      <c r="C534" s="2" t="s">
        <v>17</v>
      </c>
      <c r="D534" s="2">
        <v>119</v>
      </c>
      <c r="E534" s="3" t="s">
        <v>6</v>
      </c>
      <c r="F534" s="6">
        <v>45084</v>
      </c>
      <c r="G534" s="2">
        <v>116</v>
      </c>
      <c r="H534" s="9">
        <v>3.8</v>
      </c>
      <c r="I534">
        <f>ROUND(calls[[#This Row],[Satisfaction Rating]],0)</f>
        <v>4</v>
      </c>
      <c r="J534" t="str">
        <f>TEXT(calls[[#This Row],[Date of Call]],"DDDD")</f>
        <v>Wednesday</v>
      </c>
    </row>
    <row r="535" spans="2:10" x14ac:dyDescent="0.25">
      <c r="B535" s="8" t="s">
        <v>557</v>
      </c>
      <c r="C535" s="2" t="s">
        <v>12</v>
      </c>
      <c r="D535" s="2">
        <v>101</v>
      </c>
      <c r="E535" s="3" t="s">
        <v>11</v>
      </c>
      <c r="F535" s="6">
        <v>45085</v>
      </c>
      <c r="G535" s="2">
        <v>132</v>
      </c>
      <c r="H535" s="9">
        <v>4.3</v>
      </c>
      <c r="I535">
        <f>ROUND(calls[[#This Row],[Satisfaction Rating]],0)</f>
        <v>4</v>
      </c>
      <c r="J535" t="str">
        <f>TEXT(calls[[#This Row],[Date of Call]],"DDDD")</f>
        <v>Thursday</v>
      </c>
    </row>
    <row r="536" spans="2:10" x14ac:dyDescent="0.25">
      <c r="B536" s="8" t="s">
        <v>558</v>
      </c>
      <c r="C536" s="2" t="s">
        <v>7</v>
      </c>
      <c r="D536" s="2">
        <v>59</v>
      </c>
      <c r="E536" s="3" t="s">
        <v>6</v>
      </c>
      <c r="F536" s="6">
        <v>45086</v>
      </c>
      <c r="G536" s="2">
        <v>90</v>
      </c>
      <c r="H536" s="9">
        <v>3.5</v>
      </c>
      <c r="I536">
        <f>ROUND(calls[[#This Row],[Satisfaction Rating]],0)</f>
        <v>4</v>
      </c>
      <c r="J536" t="str">
        <f>TEXT(calls[[#This Row],[Date of Call]],"DDDD")</f>
        <v>Friday</v>
      </c>
    </row>
    <row r="537" spans="2:10" x14ac:dyDescent="0.25">
      <c r="B537" s="8" t="s">
        <v>559</v>
      </c>
      <c r="C537" s="2" t="s">
        <v>14</v>
      </c>
      <c r="D537" s="2">
        <v>125</v>
      </c>
      <c r="E537" s="3" t="s">
        <v>10</v>
      </c>
      <c r="F537" s="6">
        <v>45086</v>
      </c>
      <c r="G537" s="2">
        <v>87</v>
      </c>
      <c r="H537" s="9">
        <v>4.0999999999999996</v>
      </c>
      <c r="I537">
        <f>ROUND(calls[[#This Row],[Satisfaction Rating]],0)</f>
        <v>4</v>
      </c>
      <c r="J537" t="str">
        <f>TEXT(calls[[#This Row],[Date of Call]],"DDDD")</f>
        <v>Friday</v>
      </c>
    </row>
    <row r="538" spans="2:10" x14ac:dyDescent="0.25">
      <c r="B538" s="8" t="s">
        <v>560</v>
      </c>
      <c r="C538" s="2" t="s">
        <v>18</v>
      </c>
      <c r="D538" s="2">
        <v>147</v>
      </c>
      <c r="E538" s="3" t="s">
        <v>6</v>
      </c>
      <c r="F538" s="6">
        <v>45086</v>
      </c>
      <c r="G538" s="2">
        <v>140</v>
      </c>
      <c r="H538" s="9">
        <v>4.2</v>
      </c>
      <c r="I538">
        <f>ROUND(calls[[#This Row],[Satisfaction Rating]],0)</f>
        <v>4</v>
      </c>
      <c r="J538" t="str">
        <f>TEXT(calls[[#This Row],[Date of Call]],"DDDD")</f>
        <v>Friday</v>
      </c>
    </row>
    <row r="539" spans="2:10" x14ac:dyDescent="0.25">
      <c r="B539" s="8" t="s">
        <v>561</v>
      </c>
      <c r="C539" s="2" t="s">
        <v>24</v>
      </c>
      <c r="D539" s="2">
        <v>76</v>
      </c>
      <c r="E539" s="3" t="s">
        <v>6</v>
      </c>
      <c r="F539" s="6">
        <v>45086</v>
      </c>
      <c r="G539" s="2">
        <v>164</v>
      </c>
      <c r="H539" s="9">
        <v>4.5</v>
      </c>
      <c r="I539">
        <f>ROUND(calls[[#This Row],[Satisfaction Rating]],0)</f>
        <v>5</v>
      </c>
      <c r="J539" t="str">
        <f>TEXT(calls[[#This Row],[Date of Call]],"DDDD")</f>
        <v>Friday</v>
      </c>
    </row>
    <row r="540" spans="2:10" x14ac:dyDescent="0.25">
      <c r="B540" s="8" t="s">
        <v>562</v>
      </c>
      <c r="C540" s="2" t="s">
        <v>15</v>
      </c>
      <c r="D540" s="2">
        <v>99</v>
      </c>
      <c r="E540" s="3" t="s">
        <v>11</v>
      </c>
      <c r="F540" s="6">
        <v>45087</v>
      </c>
      <c r="G540" s="2">
        <v>180</v>
      </c>
      <c r="H540" s="9">
        <v>3.8</v>
      </c>
      <c r="I540">
        <f>ROUND(calls[[#This Row],[Satisfaction Rating]],0)</f>
        <v>4</v>
      </c>
      <c r="J540" t="str">
        <f>TEXT(calls[[#This Row],[Date of Call]],"DDDD")</f>
        <v>Saturday</v>
      </c>
    </row>
    <row r="541" spans="2:10" x14ac:dyDescent="0.25">
      <c r="B541" s="8" t="s">
        <v>563</v>
      </c>
      <c r="C541" s="2" t="s">
        <v>5</v>
      </c>
      <c r="D541" s="2">
        <v>111</v>
      </c>
      <c r="E541" s="3" t="s">
        <v>13</v>
      </c>
      <c r="F541" s="6">
        <v>45088</v>
      </c>
      <c r="G541" s="2">
        <v>22</v>
      </c>
      <c r="H541" s="9">
        <v>4.0999999999999996</v>
      </c>
      <c r="I541">
        <f>ROUND(calls[[#This Row],[Satisfaction Rating]],0)</f>
        <v>4</v>
      </c>
      <c r="J541" t="str">
        <f>TEXT(calls[[#This Row],[Date of Call]],"DDDD")</f>
        <v>Sunday</v>
      </c>
    </row>
    <row r="542" spans="2:10" x14ac:dyDescent="0.25">
      <c r="B542" s="8" t="s">
        <v>564</v>
      </c>
      <c r="C542" s="2" t="s">
        <v>8</v>
      </c>
      <c r="D542" s="2">
        <v>147</v>
      </c>
      <c r="E542" s="3" t="s">
        <v>10</v>
      </c>
      <c r="F542" s="6">
        <v>45088</v>
      </c>
      <c r="G542" s="2">
        <v>82</v>
      </c>
      <c r="H542" s="9">
        <v>4.4000000000000004</v>
      </c>
      <c r="I542">
        <f>ROUND(calls[[#This Row],[Satisfaction Rating]],0)</f>
        <v>4</v>
      </c>
      <c r="J542" t="str">
        <f>TEXT(calls[[#This Row],[Date of Call]],"DDDD")</f>
        <v>Sunday</v>
      </c>
    </row>
    <row r="543" spans="2:10" x14ac:dyDescent="0.25">
      <c r="B543" s="8" t="s">
        <v>565</v>
      </c>
      <c r="C543" s="2" t="s">
        <v>20</v>
      </c>
      <c r="D543" s="2">
        <v>141</v>
      </c>
      <c r="E543" s="3" t="s">
        <v>11</v>
      </c>
      <c r="F543" s="6">
        <v>45088</v>
      </c>
      <c r="G543" s="2">
        <v>100</v>
      </c>
      <c r="H543" s="9">
        <v>4.5999999999999996</v>
      </c>
      <c r="I543">
        <f>ROUND(calls[[#This Row],[Satisfaction Rating]],0)</f>
        <v>5</v>
      </c>
      <c r="J543" t="str">
        <f>TEXT(calls[[#This Row],[Date of Call]],"DDDD")</f>
        <v>Sunday</v>
      </c>
    </row>
    <row r="544" spans="2:10" x14ac:dyDescent="0.25">
      <c r="B544" s="8" t="s">
        <v>566</v>
      </c>
      <c r="C544" s="2" t="s">
        <v>24</v>
      </c>
      <c r="D544" s="2">
        <v>71</v>
      </c>
      <c r="E544" s="3" t="s">
        <v>6</v>
      </c>
      <c r="F544" s="6">
        <v>45089</v>
      </c>
      <c r="G544" s="2">
        <v>52</v>
      </c>
      <c r="H544" s="9">
        <v>3.4</v>
      </c>
      <c r="I544">
        <f>ROUND(calls[[#This Row],[Satisfaction Rating]],0)</f>
        <v>3</v>
      </c>
      <c r="J544" t="str">
        <f>TEXT(calls[[#This Row],[Date of Call]],"DDDD")</f>
        <v>Monday</v>
      </c>
    </row>
    <row r="545" spans="2:10" x14ac:dyDescent="0.25">
      <c r="B545" s="8" t="s">
        <v>567</v>
      </c>
      <c r="C545" s="2" t="s">
        <v>24</v>
      </c>
      <c r="D545" s="2">
        <v>121</v>
      </c>
      <c r="E545" s="3" t="s">
        <v>10</v>
      </c>
      <c r="F545" s="6">
        <v>45090</v>
      </c>
      <c r="G545" s="2">
        <v>84</v>
      </c>
      <c r="H545" s="9">
        <v>4.5999999999999996</v>
      </c>
      <c r="I545">
        <f>ROUND(calls[[#This Row],[Satisfaction Rating]],0)</f>
        <v>5</v>
      </c>
      <c r="J545" t="str">
        <f>TEXT(calls[[#This Row],[Date of Call]],"DDDD")</f>
        <v>Tuesday</v>
      </c>
    </row>
    <row r="546" spans="2:10" x14ac:dyDescent="0.25">
      <c r="B546" s="8" t="s">
        <v>568</v>
      </c>
      <c r="C546" s="2" t="s">
        <v>24</v>
      </c>
      <c r="D546" s="2">
        <v>60</v>
      </c>
      <c r="E546" s="3" t="s">
        <v>10</v>
      </c>
      <c r="F546" s="6">
        <v>45090</v>
      </c>
      <c r="G546" s="2">
        <v>37</v>
      </c>
      <c r="H546" s="9">
        <v>3.9</v>
      </c>
      <c r="I546">
        <f>ROUND(calls[[#This Row],[Satisfaction Rating]],0)</f>
        <v>4</v>
      </c>
      <c r="J546" t="str">
        <f>TEXT(calls[[#This Row],[Date of Call]],"DDDD")</f>
        <v>Tuesday</v>
      </c>
    </row>
    <row r="547" spans="2:10" x14ac:dyDescent="0.25">
      <c r="B547" s="8" t="s">
        <v>569</v>
      </c>
      <c r="C547" s="2" t="s">
        <v>19</v>
      </c>
      <c r="D547" s="2">
        <v>158</v>
      </c>
      <c r="E547" s="3" t="s">
        <v>11</v>
      </c>
      <c r="F547" s="6">
        <v>45091</v>
      </c>
      <c r="G547" s="2">
        <v>190</v>
      </c>
      <c r="H547" s="9">
        <v>4</v>
      </c>
      <c r="I547">
        <f>ROUND(calls[[#This Row],[Satisfaction Rating]],0)</f>
        <v>4</v>
      </c>
      <c r="J547" t="str">
        <f>TEXT(calls[[#This Row],[Date of Call]],"DDDD")</f>
        <v>Wednesday</v>
      </c>
    </row>
    <row r="548" spans="2:10" x14ac:dyDescent="0.25">
      <c r="B548" s="8" t="s">
        <v>570</v>
      </c>
      <c r="C548" s="2" t="s">
        <v>18</v>
      </c>
      <c r="D548" s="2">
        <v>159</v>
      </c>
      <c r="E548" s="3" t="s">
        <v>9</v>
      </c>
      <c r="F548" s="6">
        <v>45091</v>
      </c>
      <c r="G548" s="2">
        <v>66</v>
      </c>
      <c r="H548" s="9">
        <v>3.4</v>
      </c>
      <c r="I548">
        <f>ROUND(calls[[#This Row],[Satisfaction Rating]],0)</f>
        <v>3</v>
      </c>
      <c r="J548" t="str">
        <f>TEXT(calls[[#This Row],[Date of Call]],"DDDD")</f>
        <v>Wednesday</v>
      </c>
    </row>
    <row r="549" spans="2:10" x14ac:dyDescent="0.25">
      <c r="B549" s="8" t="s">
        <v>571</v>
      </c>
      <c r="C549" s="2" t="s">
        <v>12</v>
      </c>
      <c r="D549" s="2">
        <v>70</v>
      </c>
      <c r="E549" s="3" t="s">
        <v>6</v>
      </c>
      <c r="F549" s="6">
        <v>45092</v>
      </c>
      <c r="G549" s="2">
        <v>116</v>
      </c>
      <c r="H549" s="9">
        <v>3.2</v>
      </c>
      <c r="I549">
        <f>ROUND(calls[[#This Row],[Satisfaction Rating]],0)</f>
        <v>3</v>
      </c>
      <c r="J549" t="str">
        <f>TEXT(calls[[#This Row],[Date of Call]],"DDDD")</f>
        <v>Thursday</v>
      </c>
    </row>
    <row r="550" spans="2:10" x14ac:dyDescent="0.25">
      <c r="B550" s="8" t="s">
        <v>572</v>
      </c>
      <c r="C550" s="2" t="s">
        <v>16</v>
      </c>
      <c r="D550" s="2">
        <v>78</v>
      </c>
      <c r="E550" s="3" t="s">
        <v>13</v>
      </c>
      <c r="F550" s="6">
        <v>45092</v>
      </c>
      <c r="G550" s="2">
        <v>28</v>
      </c>
      <c r="H550" s="9">
        <v>3.9</v>
      </c>
      <c r="I550">
        <f>ROUND(calls[[#This Row],[Satisfaction Rating]],0)</f>
        <v>4</v>
      </c>
      <c r="J550" t="str">
        <f>TEXT(calls[[#This Row],[Date of Call]],"DDDD")</f>
        <v>Thursday</v>
      </c>
    </row>
    <row r="551" spans="2:10" x14ac:dyDescent="0.25">
      <c r="B551" s="8" t="s">
        <v>573</v>
      </c>
      <c r="C551" s="2" t="s">
        <v>8</v>
      </c>
      <c r="D551" s="2">
        <v>103</v>
      </c>
      <c r="E551" s="3" t="s">
        <v>6</v>
      </c>
      <c r="F551" s="6">
        <v>45092</v>
      </c>
      <c r="G551" s="2">
        <v>120</v>
      </c>
      <c r="H551" s="9">
        <v>5</v>
      </c>
      <c r="I551">
        <f>ROUND(calls[[#This Row],[Satisfaction Rating]],0)</f>
        <v>5</v>
      </c>
      <c r="J551" t="str">
        <f>TEXT(calls[[#This Row],[Date of Call]],"DDDD")</f>
        <v>Thursday</v>
      </c>
    </row>
    <row r="552" spans="2:10" x14ac:dyDescent="0.25">
      <c r="B552" s="8" t="s">
        <v>574</v>
      </c>
      <c r="C552" s="2" t="s">
        <v>23</v>
      </c>
      <c r="D552" s="2">
        <v>108</v>
      </c>
      <c r="E552" s="3" t="s">
        <v>11</v>
      </c>
      <c r="F552" s="6">
        <v>45092</v>
      </c>
      <c r="G552" s="2">
        <v>56</v>
      </c>
      <c r="H552" s="9">
        <v>3.5</v>
      </c>
      <c r="I552">
        <f>ROUND(calls[[#This Row],[Satisfaction Rating]],0)</f>
        <v>4</v>
      </c>
      <c r="J552" t="str">
        <f>TEXT(calls[[#This Row],[Date of Call]],"DDDD")</f>
        <v>Thursday</v>
      </c>
    </row>
    <row r="553" spans="2:10" x14ac:dyDescent="0.25">
      <c r="B553" s="8" t="s">
        <v>575</v>
      </c>
      <c r="C553" s="2" t="s">
        <v>23</v>
      </c>
      <c r="D553" s="2">
        <v>44</v>
      </c>
      <c r="E553" s="3" t="s">
        <v>10</v>
      </c>
      <c r="F553" s="6">
        <v>45092</v>
      </c>
      <c r="G553" s="2">
        <v>170</v>
      </c>
      <c r="H553" s="9">
        <v>3.8</v>
      </c>
      <c r="I553">
        <f>ROUND(calls[[#This Row],[Satisfaction Rating]],0)</f>
        <v>4</v>
      </c>
      <c r="J553" t="str">
        <f>TEXT(calls[[#This Row],[Date of Call]],"DDDD")</f>
        <v>Thursday</v>
      </c>
    </row>
    <row r="554" spans="2:10" x14ac:dyDescent="0.25">
      <c r="B554" s="8" t="s">
        <v>576</v>
      </c>
      <c r="C554" s="2" t="s">
        <v>16</v>
      </c>
      <c r="D554" s="2">
        <v>127</v>
      </c>
      <c r="E554" s="3" t="s">
        <v>11</v>
      </c>
      <c r="F554" s="6">
        <v>45093</v>
      </c>
      <c r="G554" s="2">
        <v>200</v>
      </c>
      <c r="H554" s="9">
        <v>4.8</v>
      </c>
      <c r="I554">
        <f>ROUND(calls[[#This Row],[Satisfaction Rating]],0)</f>
        <v>5</v>
      </c>
      <c r="J554" t="str">
        <f>TEXT(calls[[#This Row],[Date of Call]],"DDDD")</f>
        <v>Friday</v>
      </c>
    </row>
    <row r="555" spans="2:10" x14ac:dyDescent="0.25">
      <c r="B555" s="8" t="s">
        <v>577</v>
      </c>
      <c r="C555" s="2" t="s">
        <v>8</v>
      </c>
      <c r="D555" s="2">
        <v>132</v>
      </c>
      <c r="E555" s="3" t="s">
        <v>6</v>
      </c>
      <c r="F555" s="6">
        <v>45094</v>
      </c>
      <c r="G555" s="2">
        <v>50</v>
      </c>
      <c r="H555" s="9">
        <v>4.2</v>
      </c>
      <c r="I555">
        <f>ROUND(calls[[#This Row],[Satisfaction Rating]],0)</f>
        <v>4</v>
      </c>
      <c r="J555" t="str">
        <f>TEXT(calls[[#This Row],[Date of Call]],"DDDD")</f>
        <v>Saturday</v>
      </c>
    </row>
    <row r="556" spans="2:10" x14ac:dyDescent="0.25">
      <c r="B556" s="8" t="s">
        <v>578</v>
      </c>
      <c r="C556" s="2" t="s">
        <v>20</v>
      </c>
      <c r="D556" s="2">
        <v>106</v>
      </c>
      <c r="E556" s="3" t="s">
        <v>13</v>
      </c>
      <c r="F556" s="6">
        <v>45094</v>
      </c>
      <c r="G556" s="2">
        <v>112</v>
      </c>
      <c r="H556" s="9">
        <v>3.7</v>
      </c>
      <c r="I556">
        <f>ROUND(calls[[#This Row],[Satisfaction Rating]],0)</f>
        <v>4</v>
      </c>
      <c r="J556" t="str">
        <f>TEXT(calls[[#This Row],[Date of Call]],"DDDD")</f>
        <v>Saturday</v>
      </c>
    </row>
    <row r="557" spans="2:10" x14ac:dyDescent="0.25">
      <c r="B557" s="8" t="s">
        <v>579</v>
      </c>
      <c r="C557" s="2" t="s">
        <v>5</v>
      </c>
      <c r="D557" s="2">
        <v>107</v>
      </c>
      <c r="E557" s="3" t="s">
        <v>6</v>
      </c>
      <c r="F557" s="6">
        <v>45095</v>
      </c>
      <c r="G557" s="2">
        <v>39</v>
      </c>
      <c r="H557" s="9">
        <v>4.8</v>
      </c>
      <c r="I557">
        <f>ROUND(calls[[#This Row],[Satisfaction Rating]],0)</f>
        <v>5</v>
      </c>
      <c r="J557" t="str">
        <f>TEXT(calls[[#This Row],[Date of Call]],"DDDD")</f>
        <v>Sunday</v>
      </c>
    </row>
    <row r="558" spans="2:10" x14ac:dyDescent="0.25">
      <c r="B558" s="8" t="s">
        <v>580</v>
      </c>
      <c r="C558" s="2" t="s">
        <v>18</v>
      </c>
      <c r="D558" s="2">
        <v>85</v>
      </c>
      <c r="E558" s="3" t="s">
        <v>13</v>
      </c>
      <c r="F558" s="6">
        <v>45095</v>
      </c>
      <c r="G558" s="2">
        <v>38</v>
      </c>
      <c r="H558" s="9">
        <v>4.8</v>
      </c>
      <c r="I558">
        <f>ROUND(calls[[#This Row],[Satisfaction Rating]],0)</f>
        <v>5</v>
      </c>
      <c r="J558" t="str">
        <f>TEXT(calls[[#This Row],[Date of Call]],"DDDD")</f>
        <v>Sunday</v>
      </c>
    </row>
    <row r="559" spans="2:10" x14ac:dyDescent="0.25">
      <c r="B559" s="8" t="s">
        <v>581</v>
      </c>
      <c r="C559" s="2" t="s">
        <v>15</v>
      </c>
      <c r="D559" s="2">
        <v>49</v>
      </c>
      <c r="E559" s="3" t="s">
        <v>6</v>
      </c>
      <c r="F559" s="6">
        <v>45096</v>
      </c>
      <c r="G559" s="2">
        <v>84</v>
      </c>
      <c r="H559" s="9">
        <v>2.9</v>
      </c>
      <c r="I559">
        <f>ROUND(calls[[#This Row],[Satisfaction Rating]],0)</f>
        <v>3</v>
      </c>
      <c r="J559" t="str">
        <f>TEXT(calls[[#This Row],[Date of Call]],"DDDD")</f>
        <v>Monday</v>
      </c>
    </row>
    <row r="560" spans="2:10" x14ac:dyDescent="0.25">
      <c r="B560" s="8" t="s">
        <v>582</v>
      </c>
      <c r="C560" s="2" t="s">
        <v>24</v>
      </c>
      <c r="D560" s="2">
        <v>117</v>
      </c>
      <c r="E560" s="3" t="s">
        <v>11</v>
      </c>
      <c r="F560" s="6">
        <v>45097</v>
      </c>
      <c r="G560" s="2">
        <v>82</v>
      </c>
      <c r="H560" s="9">
        <v>3.5</v>
      </c>
      <c r="I560">
        <f>ROUND(calls[[#This Row],[Satisfaction Rating]],0)</f>
        <v>4</v>
      </c>
      <c r="J560" t="str">
        <f>TEXT(calls[[#This Row],[Date of Call]],"DDDD")</f>
        <v>Tuesday</v>
      </c>
    </row>
    <row r="561" spans="2:10" x14ac:dyDescent="0.25">
      <c r="B561" s="8" t="s">
        <v>583</v>
      </c>
      <c r="C561" s="2" t="s">
        <v>5</v>
      </c>
      <c r="D561" s="2">
        <v>136</v>
      </c>
      <c r="E561" s="3" t="s">
        <v>13</v>
      </c>
      <c r="F561" s="6">
        <v>45097</v>
      </c>
      <c r="G561" s="2">
        <v>37</v>
      </c>
      <c r="H561" s="9">
        <v>0.9</v>
      </c>
      <c r="I561">
        <f>ROUND(calls[[#This Row],[Satisfaction Rating]],0)</f>
        <v>1</v>
      </c>
      <c r="J561" t="str">
        <f>TEXT(calls[[#This Row],[Date of Call]],"DDDD")</f>
        <v>Tuesday</v>
      </c>
    </row>
    <row r="562" spans="2:10" x14ac:dyDescent="0.25">
      <c r="B562" s="8" t="s">
        <v>584</v>
      </c>
      <c r="C562" s="2" t="s">
        <v>23</v>
      </c>
      <c r="D562" s="2">
        <v>130</v>
      </c>
      <c r="E562" s="3" t="s">
        <v>9</v>
      </c>
      <c r="F562" s="6">
        <v>45098</v>
      </c>
      <c r="G562" s="2">
        <v>87</v>
      </c>
      <c r="H562" s="9">
        <v>3.4</v>
      </c>
      <c r="I562">
        <f>ROUND(calls[[#This Row],[Satisfaction Rating]],0)</f>
        <v>3</v>
      </c>
      <c r="J562" t="str">
        <f>TEXT(calls[[#This Row],[Date of Call]],"DDDD")</f>
        <v>Wednesday</v>
      </c>
    </row>
    <row r="563" spans="2:10" x14ac:dyDescent="0.25">
      <c r="B563" s="8" t="s">
        <v>585</v>
      </c>
      <c r="C563" s="2" t="s">
        <v>23</v>
      </c>
      <c r="D563" s="2">
        <v>73</v>
      </c>
      <c r="E563" s="3" t="s">
        <v>9</v>
      </c>
      <c r="F563" s="6">
        <v>45098</v>
      </c>
      <c r="G563" s="2">
        <v>75</v>
      </c>
      <c r="H563" s="9">
        <v>2.7</v>
      </c>
      <c r="I563">
        <f>ROUND(calls[[#This Row],[Satisfaction Rating]],0)</f>
        <v>3</v>
      </c>
      <c r="J563" t="str">
        <f>TEXT(calls[[#This Row],[Date of Call]],"DDDD")</f>
        <v>Wednesday</v>
      </c>
    </row>
    <row r="564" spans="2:10" x14ac:dyDescent="0.25">
      <c r="B564" s="8" t="s">
        <v>586</v>
      </c>
      <c r="C564" s="2" t="s">
        <v>15</v>
      </c>
      <c r="D564" s="2">
        <v>80</v>
      </c>
      <c r="E564" s="3" t="s">
        <v>6</v>
      </c>
      <c r="F564" s="6">
        <v>45098</v>
      </c>
      <c r="G564" s="2">
        <v>32</v>
      </c>
      <c r="H564" s="9">
        <v>4.7</v>
      </c>
      <c r="I564">
        <f>ROUND(calls[[#This Row],[Satisfaction Rating]],0)</f>
        <v>5</v>
      </c>
      <c r="J564" t="str">
        <f>TEXT(calls[[#This Row],[Date of Call]],"DDDD")</f>
        <v>Wednesday</v>
      </c>
    </row>
    <row r="565" spans="2:10" x14ac:dyDescent="0.25">
      <c r="B565" s="8" t="s">
        <v>587</v>
      </c>
      <c r="C565" s="2" t="s">
        <v>17</v>
      </c>
      <c r="D565" s="2">
        <v>44</v>
      </c>
      <c r="E565" s="3" t="s">
        <v>11</v>
      </c>
      <c r="F565" s="6">
        <v>45098</v>
      </c>
      <c r="G565" s="2">
        <v>33</v>
      </c>
      <c r="H565" s="9">
        <v>3</v>
      </c>
      <c r="I565">
        <f>ROUND(calls[[#This Row],[Satisfaction Rating]],0)</f>
        <v>3</v>
      </c>
      <c r="J565" t="str">
        <f>TEXT(calls[[#This Row],[Date of Call]],"DDDD")</f>
        <v>Wednesday</v>
      </c>
    </row>
    <row r="566" spans="2:10" x14ac:dyDescent="0.25">
      <c r="B566" s="8" t="s">
        <v>588</v>
      </c>
      <c r="C566" s="2" t="s">
        <v>17</v>
      </c>
      <c r="D566" s="2">
        <v>102</v>
      </c>
      <c r="E566" s="3" t="s">
        <v>10</v>
      </c>
      <c r="F566" s="6">
        <v>45098</v>
      </c>
      <c r="G566" s="2">
        <v>76</v>
      </c>
      <c r="H566" s="9">
        <v>4.2</v>
      </c>
      <c r="I566">
        <f>ROUND(calls[[#This Row],[Satisfaction Rating]],0)</f>
        <v>4</v>
      </c>
      <c r="J566" t="str">
        <f>TEXT(calls[[#This Row],[Date of Call]],"DDDD")</f>
        <v>Wednesday</v>
      </c>
    </row>
    <row r="567" spans="2:10" x14ac:dyDescent="0.25">
      <c r="B567" s="8" t="s">
        <v>589</v>
      </c>
      <c r="C567" s="2" t="s">
        <v>19</v>
      </c>
      <c r="D567" s="2">
        <v>74</v>
      </c>
      <c r="E567" s="3" t="s">
        <v>10</v>
      </c>
      <c r="F567" s="6">
        <v>45098</v>
      </c>
      <c r="G567" s="2">
        <v>117</v>
      </c>
      <c r="H567" s="9">
        <v>4.8</v>
      </c>
      <c r="I567">
        <f>ROUND(calls[[#This Row],[Satisfaction Rating]],0)</f>
        <v>5</v>
      </c>
      <c r="J567" t="str">
        <f>TEXT(calls[[#This Row],[Date of Call]],"DDDD")</f>
        <v>Wednesday</v>
      </c>
    </row>
    <row r="568" spans="2:10" x14ac:dyDescent="0.25">
      <c r="B568" s="8" t="s">
        <v>590</v>
      </c>
      <c r="C568" s="2" t="s">
        <v>15</v>
      </c>
      <c r="D568" s="2">
        <v>52</v>
      </c>
      <c r="E568" s="3" t="s">
        <v>11</v>
      </c>
      <c r="F568" s="6">
        <v>45100</v>
      </c>
      <c r="G568" s="2">
        <v>70</v>
      </c>
      <c r="H568" s="9">
        <v>4.0999999999999996</v>
      </c>
      <c r="I568">
        <f>ROUND(calls[[#This Row],[Satisfaction Rating]],0)</f>
        <v>4</v>
      </c>
      <c r="J568" t="str">
        <f>TEXT(calls[[#This Row],[Date of Call]],"DDDD")</f>
        <v>Friday</v>
      </c>
    </row>
    <row r="569" spans="2:10" x14ac:dyDescent="0.25">
      <c r="B569" s="8" t="s">
        <v>591</v>
      </c>
      <c r="C569" s="2" t="s">
        <v>15</v>
      </c>
      <c r="D569" s="2">
        <v>74</v>
      </c>
      <c r="E569" s="3" t="s">
        <v>9</v>
      </c>
      <c r="F569" s="6">
        <v>45100</v>
      </c>
      <c r="G569" s="2">
        <v>37</v>
      </c>
      <c r="H569" s="9">
        <v>2.7</v>
      </c>
      <c r="I569">
        <f>ROUND(calls[[#This Row],[Satisfaction Rating]],0)</f>
        <v>3</v>
      </c>
      <c r="J569" t="str">
        <f>TEXT(calls[[#This Row],[Date of Call]],"DDDD")</f>
        <v>Friday</v>
      </c>
    </row>
    <row r="570" spans="2:10" x14ac:dyDescent="0.25">
      <c r="B570" s="8" t="s">
        <v>592</v>
      </c>
      <c r="C570" s="2" t="s">
        <v>23</v>
      </c>
      <c r="D570" s="2">
        <v>96</v>
      </c>
      <c r="E570" s="3" t="s">
        <v>10</v>
      </c>
      <c r="F570" s="6">
        <v>45100</v>
      </c>
      <c r="G570" s="2">
        <v>46</v>
      </c>
      <c r="H570" s="9">
        <v>2.9</v>
      </c>
      <c r="I570">
        <f>ROUND(calls[[#This Row],[Satisfaction Rating]],0)</f>
        <v>3</v>
      </c>
      <c r="J570" t="str">
        <f>TEXT(calls[[#This Row],[Date of Call]],"DDDD")</f>
        <v>Friday</v>
      </c>
    </row>
    <row r="571" spans="2:10" x14ac:dyDescent="0.25">
      <c r="B571" s="8" t="s">
        <v>593</v>
      </c>
      <c r="C571" s="2" t="s">
        <v>14</v>
      </c>
      <c r="D571" s="2">
        <v>104</v>
      </c>
      <c r="E571" s="3" t="s">
        <v>6</v>
      </c>
      <c r="F571" s="6">
        <v>45100</v>
      </c>
      <c r="G571" s="2">
        <v>136</v>
      </c>
      <c r="H571" s="9">
        <v>5</v>
      </c>
      <c r="I571">
        <f>ROUND(calls[[#This Row],[Satisfaction Rating]],0)</f>
        <v>5</v>
      </c>
      <c r="J571" t="str">
        <f>TEXT(calls[[#This Row],[Date of Call]],"DDDD")</f>
        <v>Friday</v>
      </c>
    </row>
    <row r="572" spans="2:10" x14ac:dyDescent="0.25">
      <c r="B572" s="8" t="s">
        <v>594</v>
      </c>
      <c r="C572" s="2" t="s">
        <v>23</v>
      </c>
      <c r="D572" s="2">
        <v>123</v>
      </c>
      <c r="E572" s="3" t="s">
        <v>10</v>
      </c>
      <c r="F572" s="6">
        <v>45101</v>
      </c>
      <c r="G572" s="2">
        <v>44</v>
      </c>
      <c r="H572" s="9">
        <v>4.5999999999999996</v>
      </c>
      <c r="I572">
        <f>ROUND(calls[[#This Row],[Satisfaction Rating]],0)</f>
        <v>5</v>
      </c>
      <c r="J572" t="str">
        <f>TEXT(calls[[#This Row],[Date of Call]],"DDDD")</f>
        <v>Saturday</v>
      </c>
    </row>
    <row r="573" spans="2:10" x14ac:dyDescent="0.25">
      <c r="B573" s="8" t="s">
        <v>595</v>
      </c>
      <c r="C573" s="2" t="s">
        <v>22</v>
      </c>
      <c r="D573" s="2">
        <v>100</v>
      </c>
      <c r="E573" s="3" t="s">
        <v>13</v>
      </c>
      <c r="F573" s="6">
        <v>45101</v>
      </c>
      <c r="G573" s="2">
        <v>69</v>
      </c>
      <c r="H573" s="9">
        <v>3</v>
      </c>
      <c r="I573">
        <f>ROUND(calls[[#This Row],[Satisfaction Rating]],0)</f>
        <v>3</v>
      </c>
      <c r="J573" t="str">
        <f>TEXT(calls[[#This Row],[Date of Call]],"DDDD")</f>
        <v>Saturday</v>
      </c>
    </row>
    <row r="574" spans="2:10" x14ac:dyDescent="0.25">
      <c r="B574" s="8" t="s">
        <v>596</v>
      </c>
      <c r="C574" s="2" t="s">
        <v>14</v>
      </c>
      <c r="D574" s="2">
        <v>35</v>
      </c>
      <c r="E574" s="3" t="s">
        <v>11</v>
      </c>
      <c r="F574" s="6">
        <v>45102</v>
      </c>
      <c r="G574" s="2">
        <v>86</v>
      </c>
      <c r="H574" s="9">
        <v>4.5999999999999996</v>
      </c>
      <c r="I574">
        <f>ROUND(calls[[#This Row],[Satisfaction Rating]],0)</f>
        <v>5</v>
      </c>
      <c r="J574" t="str">
        <f>TEXT(calls[[#This Row],[Date of Call]],"DDDD")</f>
        <v>Sunday</v>
      </c>
    </row>
    <row r="575" spans="2:10" x14ac:dyDescent="0.25">
      <c r="B575" s="8" t="s">
        <v>597</v>
      </c>
      <c r="C575" s="2" t="s">
        <v>15</v>
      </c>
      <c r="D575" s="2">
        <v>123</v>
      </c>
      <c r="E575" s="3" t="s">
        <v>6</v>
      </c>
      <c r="F575" s="6">
        <v>45102</v>
      </c>
      <c r="G575" s="2">
        <v>68</v>
      </c>
      <c r="H575" s="9">
        <v>4.5</v>
      </c>
      <c r="I575">
        <f>ROUND(calls[[#This Row],[Satisfaction Rating]],0)</f>
        <v>5</v>
      </c>
      <c r="J575" t="str">
        <f>TEXT(calls[[#This Row],[Date of Call]],"DDDD")</f>
        <v>Sunday</v>
      </c>
    </row>
    <row r="576" spans="2:10" x14ac:dyDescent="0.25">
      <c r="B576" s="8" t="s">
        <v>598</v>
      </c>
      <c r="C576" s="2" t="s">
        <v>24</v>
      </c>
      <c r="D576" s="2">
        <v>133</v>
      </c>
      <c r="E576" s="3" t="s">
        <v>11</v>
      </c>
      <c r="F576" s="6">
        <v>45103</v>
      </c>
      <c r="G576" s="2">
        <v>21</v>
      </c>
      <c r="H576" s="9">
        <v>3.7</v>
      </c>
      <c r="I576">
        <f>ROUND(calls[[#This Row],[Satisfaction Rating]],0)</f>
        <v>4</v>
      </c>
      <c r="J576" t="str">
        <f>TEXT(calls[[#This Row],[Date of Call]],"DDDD")</f>
        <v>Monday</v>
      </c>
    </row>
    <row r="577" spans="2:10" x14ac:dyDescent="0.25">
      <c r="B577" s="8" t="s">
        <v>599</v>
      </c>
      <c r="C577" s="2" t="s">
        <v>23</v>
      </c>
      <c r="D577" s="2">
        <v>126</v>
      </c>
      <c r="E577" s="3" t="s">
        <v>9</v>
      </c>
      <c r="F577" s="6">
        <v>45103</v>
      </c>
      <c r="G577" s="2">
        <v>190</v>
      </c>
      <c r="H577" s="9">
        <v>2.4</v>
      </c>
      <c r="I577">
        <f>ROUND(calls[[#This Row],[Satisfaction Rating]],0)</f>
        <v>2</v>
      </c>
      <c r="J577" t="str">
        <f>TEXT(calls[[#This Row],[Date of Call]],"DDDD")</f>
        <v>Monday</v>
      </c>
    </row>
    <row r="578" spans="2:10" x14ac:dyDescent="0.25">
      <c r="B578" s="8" t="s">
        <v>600</v>
      </c>
      <c r="C578" s="2" t="s">
        <v>15</v>
      </c>
      <c r="D578" s="2">
        <v>39</v>
      </c>
      <c r="E578" s="3" t="s">
        <v>10</v>
      </c>
      <c r="F578" s="6">
        <v>45103</v>
      </c>
      <c r="G578" s="2">
        <v>176</v>
      </c>
      <c r="H578" s="9">
        <v>4.3</v>
      </c>
      <c r="I578">
        <f>ROUND(calls[[#This Row],[Satisfaction Rating]],0)</f>
        <v>4</v>
      </c>
      <c r="J578" t="str">
        <f>TEXT(calls[[#This Row],[Date of Call]],"DDDD")</f>
        <v>Monday</v>
      </c>
    </row>
    <row r="579" spans="2:10" x14ac:dyDescent="0.25">
      <c r="B579" s="8" t="s">
        <v>601</v>
      </c>
      <c r="C579" s="2" t="s">
        <v>19</v>
      </c>
      <c r="D579" s="2">
        <v>31</v>
      </c>
      <c r="E579" s="3" t="s">
        <v>6</v>
      </c>
      <c r="F579" s="6">
        <v>45103</v>
      </c>
      <c r="G579" s="2">
        <v>172</v>
      </c>
      <c r="H579" s="9">
        <v>3.9</v>
      </c>
      <c r="I579">
        <f>ROUND(calls[[#This Row],[Satisfaction Rating]],0)</f>
        <v>4</v>
      </c>
      <c r="J579" t="str">
        <f>TEXT(calls[[#This Row],[Date of Call]],"DDDD")</f>
        <v>Monday</v>
      </c>
    </row>
    <row r="580" spans="2:10" x14ac:dyDescent="0.25">
      <c r="B580" s="8" t="s">
        <v>602</v>
      </c>
      <c r="C580" s="2" t="s">
        <v>8</v>
      </c>
      <c r="D580" s="2">
        <v>25</v>
      </c>
      <c r="E580" s="3" t="s">
        <v>11</v>
      </c>
      <c r="F580" s="6">
        <v>45103</v>
      </c>
      <c r="G580" s="2">
        <v>84</v>
      </c>
      <c r="H580" s="9">
        <v>4.5</v>
      </c>
      <c r="I580">
        <f>ROUND(calls[[#This Row],[Satisfaction Rating]],0)</f>
        <v>5</v>
      </c>
      <c r="J580" t="str">
        <f>TEXT(calls[[#This Row],[Date of Call]],"DDDD")</f>
        <v>Monday</v>
      </c>
    </row>
    <row r="581" spans="2:10" x14ac:dyDescent="0.25">
      <c r="B581" s="8" t="s">
        <v>603</v>
      </c>
      <c r="C581" s="2" t="s">
        <v>12</v>
      </c>
      <c r="D581" s="2">
        <v>132</v>
      </c>
      <c r="E581" s="3" t="s">
        <v>13</v>
      </c>
      <c r="F581" s="6">
        <v>45104</v>
      </c>
      <c r="G581" s="2">
        <v>42</v>
      </c>
      <c r="H581" s="9">
        <v>5</v>
      </c>
      <c r="I581">
        <f>ROUND(calls[[#This Row],[Satisfaction Rating]],0)</f>
        <v>5</v>
      </c>
      <c r="J581" t="str">
        <f>TEXT(calls[[#This Row],[Date of Call]],"DDDD")</f>
        <v>Tuesday</v>
      </c>
    </row>
    <row r="582" spans="2:10" x14ac:dyDescent="0.25">
      <c r="B582" s="8" t="s">
        <v>604</v>
      </c>
      <c r="C582" s="2" t="s">
        <v>14</v>
      </c>
      <c r="D582" s="2">
        <v>63</v>
      </c>
      <c r="E582" s="3" t="s">
        <v>9</v>
      </c>
      <c r="F582" s="6">
        <v>45104</v>
      </c>
      <c r="G582" s="2">
        <v>70</v>
      </c>
      <c r="H582" s="9">
        <v>1.6</v>
      </c>
      <c r="I582">
        <f>ROUND(calls[[#This Row],[Satisfaction Rating]],0)</f>
        <v>2</v>
      </c>
      <c r="J582" t="str">
        <f>TEXT(calls[[#This Row],[Date of Call]],"DDDD")</f>
        <v>Tuesday</v>
      </c>
    </row>
    <row r="583" spans="2:10" x14ac:dyDescent="0.25">
      <c r="B583" s="8" t="s">
        <v>605</v>
      </c>
      <c r="C583" s="2" t="s">
        <v>22</v>
      </c>
      <c r="D583" s="2">
        <v>135</v>
      </c>
      <c r="E583" s="3" t="s">
        <v>13</v>
      </c>
      <c r="F583" s="6">
        <v>45104</v>
      </c>
      <c r="G583" s="2">
        <v>60</v>
      </c>
      <c r="H583" s="9">
        <v>4.3</v>
      </c>
      <c r="I583">
        <f>ROUND(calls[[#This Row],[Satisfaction Rating]],0)</f>
        <v>4</v>
      </c>
      <c r="J583" t="str">
        <f>TEXT(calls[[#This Row],[Date of Call]],"DDDD")</f>
        <v>Tuesday</v>
      </c>
    </row>
    <row r="584" spans="2:10" x14ac:dyDescent="0.25">
      <c r="B584" s="8" t="s">
        <v>606</v>
      </c>
      <c r="C584" s="2" t="s">
        <v>18</v>
      </c>
      <c r="D584" s="2">
        <v>101</v>
      </c>
      <c r="E584" s="3" t="s">
        <v>9</v>
      </c>
      <c r="F584" s="6">
        <v>45104</v>
      </c>
      <c r="G584" s="2">
        <v>84</v>
      </c>
      <c r="H584" s="9">
        <v>3.5</v>
      </c>
      <c r="I584">
        <f>ROUND(calls[[#This Row],[Satisfaction Rating]],0)</f>
        <v>4</v>
      </c>
      <c r="J584" t="str">
        <f>TEXT(calls[[#This Row],[Date of Call]],"DDDD")</f>
        <v>Tuesday</v>
      </c>
    </row>
    <row r="585" spans="2:10" x14ac:dyDescent="0.25">
      <c r="B585" s="8" t="s">
        <v>607</v>
      </c>
      <c r="C585" s="2" t="s">
        <v>24</v>
      </c>
      <c r="D585" s="2">
        <v>80</v>
      </c>
      <c r="E585" s="3" t="s">
        <v>10</v>
      </c>
      <c r="F585" s="6">
        <v>45105</v>
      </c>
      <c r="G585" s="2">
        <v>68</v>
      </c>
      <c r="H585" s="9">
        <v>3.1</v>
      </c>
      <c r="I585">
        <f>ROUND(calls[[#This Row],[Satisfaction Rating]],0)</f>
        <v>3</v>
      </c>
      <c r="J585" t="str">
        <f>TEXT(calls[[#This Row],[Date of Call]],"DDDD")</f>
        <v>Wednesday</v>
      </c>
    </row>
    <row r="586" spans="2:10" x14ac:dyDescent="0.25">
      <c r="B586" s="8" t="s">
        <v>608</v>
      </c>
      <c r="C586" s="2" t="s">
        <v>17</v>
      </c>
      <c r="D586" s="2">
        <v>28</v>
      </c>
      <c r="E586" s="3" t="s">
        <v>10</v>
      </c>
      <c r="F586" s="6">
        <v>45105</v>
      </c>
      <c r="G586" s="2">
        <v>44</v>
      </c>
      <c r="H586" s="9">
        <v>2.9</v>
      </c>
      <c r="I586">
        <f>ROUND(calls[[#This Row],[Satisfaction Rating]],0)</f>
        <v>3</v>
      </c>
      <c r="J586" t="str">
        <f>TEXT(calls[[#This Row],[Date of Call]],"DDDD")</f>
        <v>Wednesday</v>
      </c>
    </row>
    <row r="587" spans="2:10" x14ac:dyDescent="0.25">
      <c r="B587" s="8" t="s">
        <v>609</v>
      </c>
      <c r="C587" s="2" t="s">
        <v>18</v>
      </c>
      <c r="D587" s="2">
        <v>102</v>
      </c>
      <c r="E587" s="3" t="s">
        <v>13</v>
      </c>
      <c r="F587" s="6">
        <v>45106</v>
      </c>
      <c r="G587" s="2">
        <v>99</v>
      </c>
      <c r="H587" s="9">
        <v>3.2</v>
      </c>
      <c r="I587">
        <f>ROUND(calls[[#This Row],[Satisfaction Rating]],0)</f>
        <v>3</v>
      </c>
      <c r="J587" t="str">
        <f>TEXT(calls[[#This Row],[Date of Call]],"DDDD")</f>
        <v>Thursday</v>
      </c>
    </row>
    <row r="588" spans="2:10" x14ac:dyDescent="0.25">
      <c r="B588" s="8" t="s">
        <v>610</v>
      </c>
      <c r="C588" s="2" t="s">
        <v>14</v>
      </c>
      <c r="D588" s="2">
        <v>60</v>
      </c>
      <c r="E588" s="3" t="s">
        <v>13</v>
      </c>
      <c r="F588" s="6">
        <v>45107</v>
      </c>
      <c r="G588" s="2">
        <v>66</v>
      </c>
      <c r="H588" s="9">
        <v>3.2</v>
      </c>
      <c r="I588">
        <f>ROUND(calls[[#This Row],[Satisfaction Rating]],0)</f>
        <v>3</v>
      </c>
      <c r="J588" t="str">
        <f>TEXT(calls[[#This Row],[Date of Call]],"DDDD")</f>
        <v>Friday</v>
      </c>
    </row>
    <row r="589" spans="2:10" x14ac:dyDescent="0.25">
      <c r="B589" s="8" t="s">
        <v>611</v>
      </c>
      <c r="C589" s="2" t="s">
        <v>21</v>
      </c>
      <c r="D589" s="2">
        <v>103</v>
      </c>
      <c r="E589" s="3" t="s">
        <v>13</v>
      </c>
      <c r="F589" s="6">
        <v>45107</v>
      </c>
      <c r="G589" s="2">
        <v>102</v>
      </c>
      <c r="H589" s="9">
        <v>4.5</v>
      </c>
      <c r="I589">
        <f>ROUND(calls[[#This Row],[Satisfaction Rating]],0)</f>
        <v>5</v>
      </c>
      <c r="J589" t="str">
        <f>TEXT(calls[[#This Row],[Date of Call]],"DDDD")</f>
        <v>Friday</v>
      </c>
    </row>
    <row r="590" spans="2:10" x14ac:dyDescent="0.25">
      <c r="B590" s="8" t="s">
        <v>612</v>
      </c>
      <c r="C590" s="2" t="s">
        <v>24</v>
      </c>
      <c r="D590" s="2">
        <v>90</v>
      </c>
      <c r="E590" s="3" t="s">
        <v>10</v>
      </c>
      <c r="F590" s="6">
        <v>45108</v>
      </c>
      <c r="G590" s="2">
        <v>129</v>
      </c>
      <c r="H590" s="9">
        <v>3.9</v>
      </c>
      <c r="I590">
        <f>ROUND(calls[[#This Row],[Satisfaction Rating]],0)</f>
        <v>4</v>
      </c>
      <c r="J590" t="str">
        <f>TEXT(calls[[#This Row],[Date of Call]],"DDDD")</f>
        <v>Saturday</v>
      </c>
    </row>
    <row r="591" spans="2:10" x14ac:dyDescent="0.25">
      <c r="B591" s="8" t="s">
        <v>613</v>
      </c>
      <c r="C591" s="2" t="s">
        <v>16</v>
      </c>
      <c r="D591" s="2">
        <v>88</v>
      </c>
      <c r="E591" s="3" t="s">
        <v>13</v>
      </c>
      <c r="F591" s="6">
        <v>45108</v>
      </c>
      <c r="G591" s="2">
        <v>80</v>
      </c>
      <c r="H591" s="9">
        <v>4.2</v>
      </c>
      <c r="I591">
        <f>ROUND(calls[[#This Row],[Satisfaction Rating]],0)</f>
        <v>4</v>
      </c>
      <c r="J591" t="str">
        <f>TEXT(calls[[#This Row],[Date of Call]],"DDDD")</f>
        <v>Saturday</v>
      </c>
    </row>
    <row r="592" spans="2:10" x14ac:dyDescent="0.25">
      <c r="B592" s="8" t="s">
        <v>614</v>
      </c>
      <c r="C592" s="2" t="s">
        <v>21</v>
      </c>
      <c r="D592" s="2">
        <v>37</v>
      </c>
      <c r="E592" s="3" t="s">
        <v>13</v>
      </c>
      <c r="F592" s="6">
        <v>45108</v>
      </c>
      <c r="G592" s="2">
        <v>54</v>
      </c>
      <c r="H592" s="9">
        <v>1.8</v>
      </c>
      <c r="I592">
        <f>ROUND(calls[[#This Row],[Satisfaction Rating]],0)</f>
        <v>2</v>
      </c>
      <c r="J592" t="str">
        <f>TEXT(calls[[#This Row],[Date of Call]],"DDDD")</f>
        <v>Saturday</v>
      </c>
    </row>
    <row r="593" spans="2:10" x14ac:dyDescent="0.25">
      <c r="B593" s="8" t="s">
        <v>615</v>
      </c>
      <c r="C593" s="2" t="s">
        <v>17</v>
      </c>
      <c r="D593" s="2">
        <v>142</v>
      </c>
      <c r="E593" s="3" t="s">
        <v>10</v>
      </c>
      <c r="F593" s="6">
        <v>45108</v>
      </c>
      <c r="G593" s="2">
        <v>116</v>
      </c>
      <c r="H593" s="9">
        <v>4.2</v>
      </c>
      <c r="I593">
        <f>ROUND(calls[[#This Row],[Satisfaction Rating]],0)</f>
        <v>4</v>
      </c>
      <c r="J593" t="str">
        <f>TEXT(calls[[#This Row],[Date of Call]],"DDDD")</f>
        <v>Saturday</v>
      </c>
    </row>
    <row r="594" spans="2:10" x14ac:dyDescent="0.25">
      <c r="B594" s="8" t="s">
        <v>616</v>
      </c>
      <c r="C594" s="2" t="s">
        <v>17</v>
      </c>
      <c r="D594" s="2">
        <v>153</v>
      </c>
      <c r="E594" s="3" t="s">
        <v>11</v>
      </c>
      <c r="F594" s="6">
        <v>45108</v>
      </c>
      <c r="G594" s="2">
        <v>102</v>
      </c>
      <c r="H594" s="9">
        <v>3.1</v>
      </c>
      <c r="I594">
        <f>ROUND(calls[[#This Row],[Satisfaction Rating]],0)</f>
        <v>3</v>
      </c>
      <c r="J594" t="str">
        <f>TEXT(calls[[#This Row],[Date of Call]],"DDDD")</f>
        <v>Saturday</v>
      </c>
    </row>
    <row r="595" spans="2:10" x14ac:dyDescent="0.25">
      <c r="B595" s="8" t="s">
        <v>617</v>
      </c>
      <c r="C595" s="2" t="s">
        <v>7</v>
      </c>
      <c r="D595" s="2">
        <v>128</v>
      </c>
      <c r="E595" s="3" t="s">
        <v>9</v>
      </c>
      <c r="F595" s="6">
        <v>45108</v>
      </c>
      <c r="G595" s="2">
        <v>140</v>
      </c>
      <c r="H595" s="9">
        <v>4.3</v>
      </c>
      <c r="I595">
        <f>ROUND(calls[[#This Row],[Satisfaction Rating]],0)</f>
        <v>4</v>
      </c>
      <c r="J595" t="str">
        <f>TEXT(calls[[#This Row],[Date of Call]],"DDDD")</f>
        <v>Saturday</v>
      </c>
    </row>
    <row r="596" spans="2:10" x14ac:dyDescent="0.25">
      <c r="B596" s="8" t="s">
        <v>618</v>
      </c>
      <c r="C596" s="2" t="s">
        <v>14</v>
      </c>
      <c r="D596" s="2">
        <v>110</v>
      </c>
      <c r="E596" s="3" t="s">
        <v>9</v>
      </c>
      <c r="F596" s="6">
        <v>45109</v>
      </c>
      <c r="G596" s="2">
        <v>104</v>
      </c>
      <c r="H596" s="9">
        <v>4.4000000000000004</v>
      </c>
      <c r="I596">
        <f>ROUND(calls[[#This Row],[Satisfaction Rating]],0)</f>
        <v>4</v>
      </c>
      <c r="J596" t="str">
        <f>TEXT(calls[[#This Row],[Date of Call]],"DDDD")</f>
        <v>Sunday</v>
      </c>
    </row>
    <row r="597" spans="2:10" x14ac:dyDescent="0.25">
      <c r="B597" s="8" t="s">
        <v>619</v>
      </c>
      <c r="C597" s="2" t="s">
        <v>7</v>
      </c>
      <c r="D597" s="2">
        <v>139</v>
      </c>
      <c r="E597" s="3" t="s">
        <v>13</v>
      </c>
      <c r="F597" s="6">
        <v>45109</v>
      </c>
      <c r="G597" s="2">
        <v>81</v>
      </c>
      <c r="H597" s="9">
        <v>4.4000000000000004</v>
      </c>
      <c r="I597">
        <f>ROUND(calls[[#This Row],[Satisfaction Rating]],0)</f>
        <v>4</v>
      </c>
      <c r="J597" t="str">
        <f>TEXT(calls[[#This Row],[Date of Call]],"DDDD")</f>
        <v>Sunday</v>
      </c>
    </row>
    <row r="598" spans="2:10" x14ac:dyDescent="0.25">
      <c r="B598" s="8" t="s">
        <v>620</v>
      </c>
      <c r="C598" s="2" t="s">
        <v>18</v>
      </c>
      <c r="D598" s="2">
        <v>109</v>
      </c>
      <c r="E598" s="3" t="s">
        <v>6</v>
      </c>
      <c r="F598" s="6">
        <v>45111</v>
      </c>
      <c r="G598" s="2">
        <v>140</v>
      </c>
      <c r="H598" s="9">
        <v>2.4</v>
      </c>
      <c r="I598">
        <f>ROUND(calls[[#This Row],[Satisfaction Rating]],0)</f>
        <v>2</v>
      </c>
      <c r="J598" t="str">
        <f>TEXT(calls[[#This Row],[Date of Call]],"DDDD")</f>
        <v>Tuesday</v>
      </c>
    </row>
    <row r="599" spans="2:10" x14ac:dyDescent="0.25">
      <c r="B599" s="8" t="s">
        <v>621</v>
      </c>
      <c r="C599" s="2" t="s">
        <v>12</v>
      </c>
      <c r="D599" s="2">
        <v>57</v>
      </c>
      <c r="E599" s="3" t="s">
        <v>10</v>
      </c>
      <c r="F599" s="6">
        <v>45112</v>
      </c>
      <c r="G599" s="2">
        <v>120</v>
      </c>
      <c r="H599" s="9">
        <v>3.5</v>
      </c>
      <c r="I599">
        <f>ROUND(calls[[#This Row],[Satisfaction Rating]],0)</f>
        <v>4</v>
      </c>
      <c r="J599" t="str">
        <f>TEXT(calls[[#This Row],[Date of Call]],"DDDD")</f>
        <v>Wednesday</v>
      </c>
    </row>
    <row r="600" spans="2:10" x14ac:dyDescent="0.25">
      <c r="B600" s="8" t="s">
        <v>622</v>
      </c>
      <c r="C600" s="2" t="s">
        <v>18</v>
      </c>
      <c r="D600" s="2">
        <v>68</v>
      </c>
      <c r="E600" s="3" t="s">
        <v>13</v>
      </c>
      <c r="F600" s="6">
        <v>45112</v>
      </c>
      <c r="G600" s="2">
        <v>41</v>
      </c>
      <c r="H600" s="9">
        <v>3.1</v>
      </c>
      <c r="I600">
        <f>ROUND(calls[[#This Row],[Satisfaction Rating]],0)</f>
        <v>3</v>
      </c>
      <c r="J600" t="str">
        <f>TEXT(calls[[#This Row],[Date of Call]],"DDDD")</f>
        <v>Wednesday</v>
      </c>
    </row>
    <row r="601" spans="2:10" x14ac:dyDescent="0.25">
      <c r="B601" s="8" t="s">
        <v>623</v>
      </c>
      <c r="C601" s="2" t="s">
        <v>8</v>
      </c>
      <c r="D601" s="2">
        <v>128</v>
      </c>
      <c r="E601" s="3" t="s">
        <v>13</v>
      </c>
      <c r="F601" s="6">
        <v>45112</v>
      </c>
      <c r="G601" s="2">
        <v>116</v>
      </c>
      <c r="H601" s="9">
        <v>2.2999999999999998</v>
      </c>
      <c r="I601">
        <f>ROUND(calls[[#This Row],[Satisfaction Rating]],0)</f>
        <v>2</v>
      </c>
      <c r="J601" t="str">
        <f>TEXT(calls[[#This Row],[Date of Call]],"DDDD")</f>
        <v>Wednesday</v>
      </c>
    </row>
    <row r="602" spans="2:10" x14ac:dyDescent="0.25">
      <c r="B602" s="8" t="s">
        <v>624</v>
      </c>
      <c r="C602" s="2" t="s">
        <v>20</v>
      </c>
      <c r="D602" s="2">
        <v>102</v>
      </c>
      <c r="E602" s="3" t="s">
        <v>10</v>
      </c>
      <c r="F602" s="6">
        <v>45113</v>
      </c>
      <c r="G602" s="2">
        <v>70</v>
      </c>
      <c r="H602" s="9">
        <v>2.8</v>
      </c>
      <c r="I602">
        <f>ROUND(calls[[#This Row],[Satisfaction Rating]],0)</f>
        <v>3</v>
      </c>
      <c r="J602" t="str">
        <f>TEXT(calls[[#This Row],[Date of Call]],"DDDD")</f>
        <v>Thursday</v>
      </c>
    </row>
    <row r="603" spans="2:10" x14ac:dyDescent="0.25">
      <c r="B603" s="8" t="s">
        <v>625</v>
      </c>
      <c r="C603" s="2" t="s">
        <v>7</v>
      </c>
      <c r="D603" s="2">
        <v>52</v>
      </c>
      <c r="E603" s="3" t="s">
        <v>11</v>
      </c>
      <c r="F603" s="6">
        <v>45113</v>
      </c>
      <c r="G603" s="2">
        <v>42</v>
      </c>
      <c r="H603" s="9">
        <v>4.5</v>
      </c>
      <c r="I603">
        <f>ROUND(calls[[#This Row],[Satisfaction Rating]],0)</f>
        <v>5</v>
      </c>
      <c r="J603" t="str">
        <f>TEXT(calls[[#This Row],[Date of Call]],"DDDD")</f>
        <v>Thursday</v>
      </c>
    </row>
    <row r="604" spans="2:10" x14ac:dyDescent="0.25">
      <c r="B604" s="8" t="s">
        <v>626</v>
      </c>
      <c r="C604" s="2" t="s">
        <v>8</v>
      </c>
      <c r="D604" s="2">
        <v>55</v>
      </c>
      <c r="E604" s="3" t="s">
        <v>9</v>
      </c>
      <c r="F604" s="6">
        <v>45114</v>
      </c>
      <c r="G604" s="2">
        <v>112</v>
      </c>
      <c r="H604" s="9">
        <v>4.5</v>
      </c>
      <c r="I604">
        <f>ROUND(calls[[#This Row],[Satisfaction Rating]],0)</f>
        <v>5</v>
      </c>
      <c r="J604" t="str">
        <f>TEXT(calls[[#This Row],[Date of Call]],"DDDD")</f>
        <v>Friday</v>
      </c>
    </row>
    <row r="605" spans="2:10" x14ac:dyDescent="0.25">
      <c r="B605" s="8" t="s">
        <v>627</v>
      </c>
      <c r="C605" s="2" t="s">
        <v>21</v>
      </c>
      <c r="D605" s="2">
        <v>107</v>
      </c>
      <c r="E605" s="3" t="s">
        <v>13</v>
      </c>
      <c r="F605" s="6">
        <v>45114</v>
      </c>
      <c r="G605" s="2">
        <v>20</v>
      </c>
      <c r="H605" s="9">
        <v>4.5</v>
      </c>
      <c r="I605">
        <f>ROUND(calls[[#This Row],[Satisfaction Rating]],0)</f>
        <v>5</v>
      </c>
      <c r="J605" t="str">
        <f>TEXT(calls[[#This Row],[Date of Call]],"DDDD")</f>
        <v>Friday</v>
      </c>
    </row>
    <row r="606" spans="2:10" x14ac:dyDescent="0.25">
      <c r="B606" s="8" t="s">
        <v>628</v>
      </c>
      <c r="C606" s="2" t="s">
        <v>24</v>
      </c>
      <c r="D606" s="2">
        <v>88</v>
      </c>
      <c r="E606" s="3" t="s">
        <v>11</v>
      </c>
      <c r="F606" s="6">
        <v>45115</v>
      </c>
      <c r="G606" s="2">
        <v>110</v>
      </c>
      <c r="H606" s="9">
        <v>4.8</v>
      </c>
      <c r="I606">
        <f>ROUND(calls[[#This Row],[Satisfaction Rating]],0)</f>
        <v>5</v>
      </c>
      <c r="J606" t="str">
        <f>TEXT(calls[[#This Row],[Date of Call]],"DDDD")</f>
        <v>Saturday</v>
      </c>
    </row>
    <row r="607" spans="2:10" x14ac:dyDescent="0.25">
      <c r="B607" s="8" t="s">
        <v>629</v>
      </c>
      <c r="C607" s="2" t="s">
        <v>15</v>
      </c>
      <c r="D607" s="2">
        <v>49</v>
      </c>
      <c r="E607" s="3" t="s">
        <v>11</v>
      </c>
      <c r="F607" s="6">
        <v>45115</v>
      </c>
      <c r="G607" s="2">
        <v>39</v>
      </c>
      <c r="H607" s="9">
        <v>4.5999999999999996</v>
      </c>
      <c r="I607">
        <f>ROUND(calls[[#This Row],[Satisfaction Rating]],0)</f>
        <v>5</v>
      </c>
      <c r="J607" t="str">
        <f>TEXT(calls[[#This Row],[Date of Call]],"DDDD")</f>
        <v>Saturday</v>
      </c>
    </row>
    <row r="608" spans="2:10" x14ac:dyDescent="0.25">
      <c r="B608" s="8" t="s">
        <v>630</v>
      </c>
      <c r="C608" s="2" t="s">
        <v>24</v>
      </c>
      <c r="D608" s="2">
        <v>72</v>
      </c>
      <c r="E608" s="3" t="s">
        <v>10</v>
      </c>
      <c r="F608" s="6">
        <v>45115</v>
      </c>
      <c r="G608" s="2">
        <v>76</v>
      </c>
      <c r="H608" s="9">
        <v>4.5</v>
      </c>
      <c r="I608">
        <f>ROUND(calls[[#This Row],[Satisfaction Rating]],0)</f>
        <v>5</v>
      </c>
      <c r="J608" t="str">
        <f>TEXT(calls[[#This Row],[Date of Call]],"DDDD")</f>
        <v>Saturday</v>
      </c>
    </row>
    <row r="609" spans="2:10" x14ac:dyDescent="0.25">
      <c r="B609" s="8" t="s">
        <v>631</v>
      </c>
      <c r="C609" s="2" t="s">
        <v>12</v>
      </c>
      <c r="D609" s="2">
        <v>50</v>
      </c>
      <c r="E609" s="3" t="s">
        <v>10</v>
      </c>
      <c r="F609" s="6">
        <v>45115</v>
      </c>
      <c r="G609" s="2">
        <v>40</v>
      </c>
      <c r="H609" s="9">
        <v>5</v>
      </c>
      <c r="I609">
        <f>ROUND(calls[[#This Row],[Satisfaction Rating]],0)</f>
        <v>5</v>
      </c>
      <c r="J609" t="str">
        <f>TEXT(calls[[#This Row],[Date of Call]],"DDDD")</f>
        <v>Saturday</v>
      </c>
    </row>
    <row r="610" spans="2:10" x14ac:dyDescent="0.25">
      <c r="B610" s="8" t="s">
        <v>632</v>
      </c>
      <c r="C610" s="2" t="s">
        <v>24</v>
      </c>
      <c r="D610" s="2">
        <v>52</v>
      </c>
      <c r="E610" s="3" t="s">
        <v>13</v>
      </c>
      <c r="F610" s="6">
        <v>45115</v>
      </c>
      <c r="G610" s="2">
        <v>42</v>
      </c>
      <c r="H610" s="9">
        <v>4.8</v>
      </c>
      <c r="I610">
        <f>ROUND(calls[[#This Row],[Satisfaction Rating]],0)</f>
        <v>5</v>
      </c>
      <c r="J610" t="str">
        <f>TEXT(calls[[#This Row],[Date of Call]],"DDDD")</f>
        <v>Saturday</v>
      </c>
    </row>
    <row r="611" spans="2:10" x14ac:dyDescent="0.25">
      <c r="B611" s="8" t="s">
        <v>633</v>
      </c>
      <c r="C611" s="2" t="s">
        <v>23</v>
      </c>
      <c r="D611" s="2">
        <v>85</v>
      </c>
      <c r="E611" s="3" t="s">
        <v>6</v>
      </c>
      <c r="F611" s="6">
        <v>45116</v>
      </c>
      <c r="G611" s="2">
        <v>215</v>
      </c>
      <c r="H611" s="9">
        <v>3.5</v>
      </c>
      <c r="I611">
        <f>ROUND(calls[[#This Row],[Satisfaction Rating]],0)</f>
        <v>4</v>
      </c>
      <c r="J611" t="str">
        <f>TEXT(calls[[#This Row],[Date of Call]],"DDDD")</f>
        <v>Sunday</v>
      </c>
    </row>
    <row r="612" spans="2:10" x14ac:dyDescent="0.25">
      <c r="B612" s="8" t="s">
        <v>634</v>
      </c>
      <c r="C612" s="2" t="s">
        <v>22</v>
      </c>
      <c r="D612" s="2">
        <v>98</v>
      </c>
      <c r="E612" s="3" t="s">
        <v>6</v>
      </c>
      <c r="F612" s="6">
        <v>45117</v>
      </c>
      <c r="G612" s="2">
        <v>130</v>
      </c>
      <c r="H612" s="9">
        <v>3.4</v>
      </c>
      <c r="I612">
        <f>ROUND(calls[[#This Row],[Satisfaction Rating]],0)</f>
        <v>3</v>
      </c>
      <c r="J612" t="str">
        <f>TEXT(calls[[#This Row],[Date of Call]],"DDDD")</f>
        <v>Monday</v>
      </c>
    </row>
    <row r="613" spans="2:10" x14ac:dyDescent="0.25">
      <c r="B613" s="8" t="s">
        <v>635</v>
      </c>
      <c r="C613" s="2" t="s">
        <v>19</v>
      </c>
      <c r="D613" s="2">
        <v>52</v>
      </c>
      <c r="E613" s="3" t="s">
        <v>6</v>
      </c>
      <c r="F613" s="6">
        <v>45117</v>
      </c>
      <c r="G613" s="2">
        <v>190</v>
      </c>
      <c r="H613" s="9">
        <v>3.3</v>
      </c>
      <c r="I613">
        <f>ROUND(calls[[#This Row],[Satisfaction Rating]],0)</f>
        <v>3</v>
      </c>
      <c r="J613" t="str">
        <f>TEXT(calls[[#This Row],[Date of Call]],"DDDD")</f>
        <v>Monday</v>
      </c>
    </row>
    <row r="614" spans="2:10" x14ac:dyDescent="0.25">
      <c r="B614" s="8" t="s">
        <v>636</v>
      </c>
      <c r="C614" s="2" t="s">
        <v>8</v>
      </c>
      <c r="D614" s="2">
        <v>154</v>
      </c>
      <c r="E614" s="3" t="s">
        <v>11</v>
      </c>
      <c r="F614" s="6">
        <v>45117</v>
      </c>
      <c r="G614" s="2">
        <v>164</v>
      </c>
      <c r="H614" s="9">
        <v>4.9000000000000004</v>
      </c>
      <c r="I614">
        <f>ROUND(calls[[#This Row],[Satisfaction Rating]],0)</f>
        <v>5</v>
      </c>
      <c r="J614" t="str">
        <f>TEXT(calls[[#This Row],[Date of Call]],"DDDD")</f>
        <v>Monday</v>
      </c>
    </row>
    <row r="615" spans="2:10" x14ac:dyDescent="0.25">
      <c r="B615" s="8" t="s">
        <v>637</v>
      </c>
      <c r="C615" s="2" t="s">
        <v>5</v>
      </c>
      <c r="D615" s="2">
        <v>131</v>
      </c>
      <c r="E615" s="3" t="s">
        <v>9</v>
      </c>
      <c r="F615" s="6">
        <v>45118</v>
      </c>
      <c r="G615" s="2">
        <v>76</v>
      </c>
      <c r="H615" s="9">
        <v>4.5</v>
      </c>
      <c r="I615">
        <f>ROUND(calls[[#This Row],[Satisfaction Rating]],0)</f>
        <v>5</v>
      </c>
      <c r="J615" t="str">
        <f>TEXT(calls[[#This Row],[Date of Call]],"DDDD")</f>
        <v>Tuesday</v>
      </c>
    </row>
    <row r="616" spans="2:10" x14ac:dyDescent="0.25">
      <c r="B616" s="8" t="s">
        <v>638</v>
      </c>
      <c r="C616" s="2" t="s">
        <v>23</v>
      </c>
      <c r="D616" s="2">
        <v>73</v>
      </c>
      <c r="E616" s="3" t="s">
        <v>9</v>
      </c>
      <c r="F616" s="6">
        <v>45119</v>
      </c>
      <c r="G616" s="2">
        <v>87</v>
      </c>
      <c r="H616" s="9">
        <v>4.8</v>
      </c>
      <c r="I616">
        <f>ROUND(calls[[#This Row],[Satisfaction Rating]],0)</f>
        <v>5</v>
      </c>
      <c r="J616" t="str">
        <f>TEXT(calls[[#This Row],[Date of Call]],"DDDD")</f>
        <v>Wednesday</v>
      </c>
    </row>
    <row r="617" spans="2:10" x14ac:dyDescent="0.25">
      <c r="B617" s="8" t="s">
        <v>639</v>
      </c>
      <c r="C617" s="2" t="s">
        <v>14</v>
      </c>
      <c r="D617" s="2">
        <v>45</v>
      </c>
      <c r="E617" s="3" t="s">
        <v>6</v>
      </c>
      <c r="F617" s="6">
        <v>45119</v>
      </c>
      <c r="G617" s="2">
        <v>84</v>
      </c>
      <c r="H617" s="9">
        <v>4.8</v>
      </c>
      <c r="I617">
        <f>ROUND(calls[[#This Row],[Satisfaction Rating]],0)</f>
        <v>5</v>
      </c>
      <c r="J617" t="str">
        <f>TEXT(calls[[#This Row],[Date of Call]],"DDDD")</f>
        <v>Wednesday</v>
      </c>
    </row>
    <row r="618" spans="2:10" x14ac:dyDescent="0.25">
      <c r="B618" s="8" t="s">
        <v>640</v>
      </c>
      <c r="C618" s="2" t="s">
        <v>7</v>
      </c>
      <c r="D618" s="2">
        <v>114</v>
      </c>
      <c r="E618" s="3" t="s">
        <v>13</v>
      </c>
      <c r="F618" s="6">
        <v>45119</v>
      </c>
      <c r="G618" s="2">
        <v>114</v>
      </c>
      <c r="H618" s="9">
        <v>3.9</v>
      </c>
      <c r="I618">
        <f>ROUND(calls[[#This Row],[Satisfaction Rating]],0)</f>
        <v>4</v>
      </c>
      <c r="J618" t="str">
        <f>TEXT(calls[[#This Row],[Date of Call]],"DDDD")</f>
        <v>Wednesday</v>
      </c>
    </row>
    <row r="619" spans="2:10" x14ac:dyDescent="0.25">
      <c r="B619" s="8" t="s">
        <v>641</v>
      </c>
      <c r="C619" s="2" t="s">
        <v>22</v>
      </c>
      <c r="D619" s="2">
        <v>69</v>
      </c>
      <c r="E619" s="3" t="s">
        <v>9</v>
      </c>
      <c r="F619" s="6">
        <v>45120</v>
      </c>
      <c r="G619" s="2">
        <v>56</v>
      </c>
      <c r="H619" s="9">
        <v>3.9</v>
      </c>
      <c r="I619">
        <f>ROUND(calls[[#This Row],[Satisfaction Rating]],0)</f>
        <v>4</v>
      </c>
      <c r="J619" t="str">
        <f>TEXT(calls[[#This Row],[Date of Call]],"DDDD")</f>
        <v>Thursday</v>
      </c>
    </row>
    <row r="620" spans="2:10" x14ac:dyDescent="0.25">
      <c r="B620" s="8" t="s">
        <v>642</v>
      </c>
      <c r="C620" s="2" t="s">
        <v>5</v>
      </c>
      <c r="D620" s="2">
        <v>33</v>
      </c>
      <c r="E620" s="3" t="s">
        <v>11</v>
      </c>
      <c r="F620" s="6">
        <v>45120</v>
      </c>
      <c r="G620" s="2">
        <v>27</v>
      </c>
      <c r="H620" s="9">
        <v>3.7</v>
      </c>
      <c r="I620">
        <f>ROUND(calls[[#This Row],[Satisfaction Rating]],0)</f>
        <v>4</v>
      </c>
      <c r="J620" t="str">
        <f>TEXT(calls[[#This Row],[Date of Call]],"DDDD")</f>
        <v>Thursday</v>
      </c>
    </row>
    <row r="621" spans="2:10" x14ac:dyDescent="0.25">
      <c r="B621" s="8" t="s">
        <v>643</v>
      </c>
      <c r="C621" s="2" t="s">
        <v>12</v>
      </c>
      <c r="D621" s="2">
        <v>31</v>
      </c>
      <c r="E621" s="3" t="s">
        <v>10</v>
      </c>
      <c r="F621" s="6">
        <v>45121</v>
      </c>
      <c r="G621" s="2">
        <v>84</v>
      </c>
      <c r="H621" s="9">
        <v>4.8</v>
      </c>
      <c r="I621">
        <f>ROUND(calls[[#This Row],[Satisfaction Rating]],0)</f>
        <v>5</v>
      </c>
      <c r="J621" t="str">
        <f>TEXT(calls[[#This Row],[Date of Call]],"DDDD")</f>
        <v>Friday</v>
      </c>
    </row>
    <row r="622" spans="2:10" x14ac:dyDescent="0.25">
      <c r="B622" s="8" t="s">
        <v>644</v>
      </c>
      <c r="C622" s="2" t="s">
        <v>14</v>
      </c>
      <c r="D622" s="2">
        <v>168</v>
      </c>
      <c r="E622" s="3" t="s">
        <v>11</v>
      </c>
      <c r="F622" s="6">
        <v>45121</v>
      </c>
      <c r="G622" s="2">
        <v>72</v>
      </c>
      <c r="H622" s="9">
        <v>3.5</v>
      </c>
      <c r="I622">
        <f>ROUND(calls[[#This Row],[Satisfaction Rating]],0)</f>
        <v>4</v>
      </c>
      <c r="J622" t="str">
        <f>TEXT(calls[[#This Row],[Date of Call]],"DDDD")</f>
        <v>Friday</v>
      </c>
    </row>
    <row r="623" spans="2:10" x14ac:dyDescent="0.25">
      <c r="B623" s="8" t="s">
        <v>645</v>
      </c>
      <c r="C623" s="2" t="s">
        <v>23</v>
      </c>
      <c r="D623" s="2">
        <v>111</v>
      </c>
      <c r="E623" s="3" t="s">
        <v>13</v>
      </c>
      <c r="F623" s="6">
        <v>45122</v>
      </c>
      <c r="G623" s="2">
        <v>126</v>
      </c>
      <c r="H623" s="9">
        <v>4.2</v>
      </c>
      <c r="I623">
        <f>ROUND(calls[[#This Row],[Satisfaction Rating]],0)</f>
        <v>4</v>
      </c>
      <c r="J623" t="str">
        <f>TEXT(calls[[#This Row],[Date of Call]],"DDDD")</f>
        <v>Saturday</v>
      </c>
    </row>
    <row r="624" spans="2:10" x14ac:dyDescent="0.25">
      <c r="B624" s="8" t="s">
        <v>646</v>
      </c>
      <c r="C624" s="2" t="s">
        <v>12</v>
      </c>
      <c r="D624" s="2">
        <v>80</v>
      </c>
      <c r="E624" s="3" t="s">
        <v>11</v>
      </c>
      <c r="F624" s="6">
        <v>45123</v>
      </c>
      <c r="G624" s="2">
        <v>88</v>
      </c>
      <c r="H624" s="9">
        <v>4.9000000000000004</v>
      </c>
      <c r="I624">
        <f>ROUND(calls[[#This Row],[Satisfaction Rating]],0)</f>
        <v>5</v>
      </c>
      <c r="J624" t="str">
        <f>TEXT(calls[[#This Row],[Date of Call]],"DDDD")</f>
        <v>Sunday</v>
      </c>
    </row>
    <row r="625" spans="2:10" x14ac:dyDescent="0.25">
      <c r="B625" s="8" t="s">
        <v>647</v>
      </c>
      <c r="C625" s="2" t="s">
        <v>20</v>
      </c>
      <c r="D625" s="2">
        <v>37</v>
      </c>
      <c r="E625" s="3" t="s">
        <v>11</v>
      </c>
      <c r="F625" s="6">
        <v>45123</v>
      </c>
      <c r="G625" s="2">
        <v>124</v>
      </c>
      <c r="H625" s="9">
        <v>4.5999999999999996</v>
      </c>
      <c r="I625">
        <f>ROUND(calls[[#This Row],[Satisfaction Rating]],0)</f>
        <v>5</v>
      </c>
      <c r="J625" t="str">
        <f>TEXT(calls[[#This Row],[Date of Call]],"DDDD")</f>
        <v>Sunday</v>
      </c>
    </row>
    <row r="626" spans="2:10" x14ac:dyDescent="0.25">
      <c r="B626" s="8" t="s">
        <v>648</v>
      </c>
      <c r="C626" s="2" t="s">
        <v>17</v>
      </c>
      <c r="D626" s="2">
        <v>137</v>
      </c>
      <c r="E626" s="3" t="s">
        <v>11</v>
      </c>
      <c r="F626" s="6">
        <v>45124</v>
      </c>
      <c r="G626" s="2">
        <v>84</v>
      </c>
      <c r="H626" s="9">
        <v>2.6</v>
      </c>
      <c r="I626">
        <f>ROUND(calls[[#This Row],[Satisfaction Rating]],0)</f>
        <v>3</v>
      </c>
      <c r="J626" t="str">
        <f>TEXT(calls[[#This Row],[Date of Call]],"DDDD")</f>
        <v>Monday</v>
      </c>
    </row>
    <row r="627" spans="2:10" x14ac:dyDescent="0.25">
      <c r="B627" s="8" t="s">
        <v>649</v>
      </c>
      <c r="C627" s="2" t="s">
        <v>22</v>
      </c>
      <c r="D627" s="2">
        <v>123</v>
      </c>
      <c r="E627" s="3" t="s">
        <v>13</v>
      </c>
      <c r="F627" s="6">
        <v>45124</v>
      </c>
      <c r="G627" s="2">
        <v>80</v>
      </c>
      <c r="H627" s="9">
        <v>2.7</v>
      </c>
      <c r="I627">
        <f>ROUND(calls[[#This Row],[Satisfaction Rating]],0)</f>
        <v>3</v>
      </c>
      <c r="J627" t="str">
        <f>TEXT(calls[[#This Row],[Date of Call]],"DDDD")</f>
        <v>Monday</v>
      </c>
    </row>
    <row r="628" spans="2:10" x14ac:dyDescent="0.25">
      <c r="B628" s="8" t="s">
        <v>650</v>
      </c>
      <c r="C628" s="2" t="s">
        <v>16</v>
      </c>
      <c r="D628" s="2">
        <v>105</v>
      </c>
      <c r="E628" s="3" t="s">
        <v>13</v>
      </c>
      <c r="F628" s="6">
        <v>45125</v>
      </c>
      <c r="G628" s="2">
        <v>176</v>
      </c>
      <c r="H628" s="9">
        <v>4.7</v>
      </c>
      <c r="I628">
        <f>ROUND(calls[[#This Row],[Satisfaction Rating]],0)</f>
        <v>5</v>
      </c>
      <c r="J628" t="str">
        <f>TEXT(calls[[#This Row],[Date of Call]],"DDDD")</f>
        <v>Tuesday</v>
      </c>
    </row>
    <row r="629" spans="2:10" x14ac:dyDescent="0.25">
      <c r="B629" s="8" t="s">
        <v>651</v>
      </c>
      <c r="C629" s="2" t="s">
        <v>20</v>
      </c>
      <c r="D629" s="2">
        <v>76</v>
      </c>
      <c r="E629" s="3" t="s">
        <v>6</v>
      </c>
      <c r="F629" s="6">
        <v>45126</v>
      </c>
      <c r="G629" s="2">
        <v>84</v>
      </c>
      <c r="H629" s="9">
        <v>3.9</v>
      </c>
      <c r="I629">
        <f>ROUND(calls[[#This Row],[Satisfaction Rating]],0)</f>
        <v>4</v>
      </c>
      <c r="J629" t="str">
        <f>TEXT(calls[[#This Row],[Date of Call]],"DDDD")</f>
        <v>Wednesday</v>
      </c>
    </row>
    <row r="630" spans="2:10" x14ac:dyDescent="0.25">
      <c r="B630" s="8" t="s">
        <v>652</v>
      </c>
      <c r="C630" s="2" t="s">
        <v>12</v>
      </c>
      <c r="D630" s="2">
        <v>144</v>
      </c>
      <c r="E630" s="3" t="s">
        <v>6</v>
      </c>
      <c r="F630" s="6">
        <v>45126</v>
      </c>
      <c r="G630" s="2">
        <v>164</v>
      </c>
      <c r="H630" s="9">
        <v>2.8</v>
      </c>
      <c r="I630">
        <f>ROUND(calls[[#This Row],[Satisfaction Rating]],0)</f>
        <v>3</v>
      </c>
      <c r="J630" t="str">
        <f>TEXT(calls[[#This Row],[Date of Call]],"DDDD")</f>
        <v>Wednesday</v>
      </c>
    </row>
    <row r="631" spans="2:10" x14ac:dyDescent="0.25">
      <c r="B631" s="8" t="s">
        <v>653</v>
      </c>
      <c r="C631" s="2" t="s">
        <v>5</v>
      </c>
      <c r="D631" s="2">
        <v>109</v>
      </c>
      <c r="E631" s="3" t="s">
        <v>10</v>
      </c>
      <c r="F631" s="6">
        <v>45126</v>
      </c>
      <c r="G631" s="2">
        <v>132</v>
      </c>
      <c r="H631" s="9">
        <v>3.1</v>
      </c>
      <c r="I631">
        <f>ROUND(calls[[#This Row],[Satisfaction Rating]],0)</f>
        <v>3</v>
      </c>
      <c r="J631" t="str">
        <f>TEXT(calls[[#This Row],[Date of Call]],"DDDD")</f>
        <v>Wednesday</v>
      </c>
    </row>
    <row r="632" spans="2:10" x14ac:dyDescent="0.25">
      <c r="B632" s="8" t="s">
        <v>654</v>
      </c>
      <c r="C632" s="2" t="s">
        <v>22</v>
      </c>
      <c r="D632" s="2">
        <v>172</v>
      </c>
      <c r="E632" s="3" t="s">
        <v>11</v>
      </c>
      <c r="F632" s="6">
        <v>45127</v>
      </c>
      <c r="G632" s="2">
        <v>27</v>
      </c>
      <c r="H632" s="9">
        <v>4.2</v>
      </c>
      <c r="I632">
        <f>ROUND(calls[[#This Row],[Satisfaction Rating]],0)</f>
        <v>4</v>
      </c>
      <c r="J632" t="str">
        <f>TEXT(calls[[#This Row],[Date of Call]],"DDDD")</f>
        <v>Thursday</v>
      </c>
    </row>
    <row r="633" spans="2:10" x14ac:dyDescent="0.25">
      <c r="B633" s="8" t="s">
        <v>655</v>
      </c>
      <c r="C633" s="2" t="s">
        <v>12</v>
      </c>
      <c r="D633" s="2">
        <v>56</v>
      </c>
      <c r="E633" s="3" t="s">
        <v>13</v>
      </c>
      <c r="F633" s="6">
        <v>45127</v>
      </c>
      <c r="G633" s="2">
        <v>27</v>
      </c>
      <c r="H633" s="9">
        <v>4.3</v>
      </c>
      <c r="I633">
        <f>ROUND(calls[[#This Row],[Satisfaction Rating]],0)</f>
        <v>4</v>
      </c>
      <c r="J633" t="str">
        <f>TEXT(calls[[#This Row],[Date of Call]],"DDDD")</f>
        <v>Thursday</v>
      </c>
    </row>
    <row r="634" spans="2:10" x14ac:dyDescent="0.25">
      <c r="B634" s="8" t="s">
        <v>656</v>
      </c>
      <c r="C634" s="2" t="s">
        <v>12</v>
      </c>
      <c r="D634" s="2">
        <v>121</v>
      </c>
      <c r="E634" s="3" t="s">
        <v>9</v>
      </c>
      <c r="F634" s="6">
        <v>45127</v>
      </c>
      <c r="G634" s="2">
        <v>20</v>
      </c>
      <c r="H634" s="9">
        <v>2.7</v>
      </c>
      <c r="I634">
        <f>ROUND(calls[[#This Row],[Satisfaction Rating]],0)</f>
        <v>3</v>
      </c>
      <c r="J634" t="str">
        <f>TEXT(calls[[#This Row],[Date of Call]],"DDDD")</f>
        <v>Thursday</v>
      </c>
    </row>
    <row r="635" spans="2:10" x14ac:dyDescent="0.25">
      <c r="B635" s="8" t="s">
        <v>657</v>
      </c>
      <c r="C635" s="2" t="s">
        <v>22</v>
      </c>
      <c r="D635" s="2">
        <v>41</v>
      </c>
      <c r="E635" s="3" t="s">
        <v>13</v>
      </c>
      <c r="F635" s="6">
        <v>45128</v>
      </c>
      <c r="G635" s="2">
        <v>112</v>
      </c>
      <c r="H635" s="9">
        <v>2.2999999999999998</v>
      </c>
      <c r="I635">
        <f>ROUND(calls[[#This Row],[Satisfaction Rating]],0)</f>
        <v>2</v>
      </c>
      <c r="J635" t="str">
        <f>TEXT(calls[[#This Row],[Date of Call]],"DDDD")</f>
        <v>Friday</v>
      </c>
    </row>
    <row r="636" spans="2:10" x14ac:dyDescent="0.25">
      <c r="B636" s="8" t="s">
        <v>658</v>
      </c>
      <c r="C636" s="2" t="s">
        <v>21</v>
      </c>
      <c r="D636" s="2">
        <v>60</v>
      </c>
      <c r="E636" s="3" t="s">
        <v>11</v>
      </c>
      <c r="F636" s="6">
        <v>45128</v>
      </c>
      <c r="G636" s="2">
        <v>60</v>
      </c>
      <c r="H636" s="9">
        <v>2.2999999999999998</v>
      </c>
      <c r="I636">
        <f>ROUND(calls[[#This Row],[Satisfaction Rating]],0)</f>
        <v>2</v>
      </c>
      <c r="J636" t="str">
        <f>TEXT(calls[[#This Row],[Date of Call]],"DDDD")</f>
        <v>Friday</v>
      </c>
    </row>
    <row r="637" spans="2:10" x14ac:dyDescent="0.25">
      <c r="B637" s="8" t="s">
        <v>659</v>
      </c>
      <c r="C637" s="2" t="s">
        <v>21</v>
      </c>
      <c r="D637" s="2">
        <v>144</v>
      </c>
      <c r="E637" s="3" t="s">
        <v>11</v>
      </c>
      <c r="F637" s="6">
        <v>45129</v>
      </c>
      <c r="G637" s="2">
        <v>102</v>
      </c>
      <c r="H637" s="9">
        <v>2.9</v>
      </c>
      <c r="I637">
        <f>ROUND(calls[[#This Row],[Satisfaction Rating]],0)</f>
        <v>3</v>
      </c>
      <c r="J637" t="str">
        <f>TEXT(calls[[#This Row],[Date of Call]],"DDDD")</f>
        <v>Saturday</v>
      </c>
    </row>
    <row r="638" spans="2:10" x14ac:dyDescent="0.25">
      <c r="B638" s="8" t="s">
        <v>660</v>
      </c>
      <c r="C638" s="2" t="s">
        <v>8</v>
      </c>
      <c r="D638" s="2">
        <v>67</v>
      </c>
      <c r="E638" s="3" t="s">
        <v>11</v>
      </c>
      <c r="F638" s="6">
        <v>45129</v>
      </c>
      <c r="G638" s="2">
        <v>38</v>
      </c>
      <c r="H638" s="9">
        <v>4.2</v>
      </c>
      <c r="I638">
        <f>ROUND(calls[[#This Row],[Satisfaction Rating]],0)</f>
        <v>4</v>
      </c>
      <c r="J638" t="str">
        <f>TEXT(calls[[#This Row],[Date of Call]],"DDDD")</f>
        <v>Saturday</v>
      </c>
    </row>
    <row r="639" spans="2:10" x14ac:dyDescent="0.25">
      <c r="B639" s="8" t="s">
        <v>661</v>
      </c>
      <c r="C639" s="2" t="s">
        <v>22</v>
      </c>
      <c r="D639" s="2">
        <v>162</v>
      </c>
      <c r="E639" s="3" t="s">
        <v>10</v>
      </c>
      <c r="F639" s="6">
        <v>45129</v>
      </c>
      <c r="G639" s="2">
        <v>82</v>
      </c>
      <c r="H639" s="9">
        <v>4.5999999999999996</v>
      </c>
      <c r="I639">
        <f>ROUND(calls[[#This Row],[Satisfaction Rating]],0)</f>
        <v>5</v>
      </c>
      <c r="J639" t="str">
        <f>TEXT(calls[[#This Row],[Date of Call]],"DDDD")</f>
        <v>Saturday</v>
      </c>
    </row>
    <row r="640" spans="2:10" x14ac:dyDescent="0.25">
      <c r="B640" s="8" t="s">
        <v>662</v>
      </c>
      <c r="C640" s="2" t="s">
        <v>21</v>
      </c>
      <c r="D640" s="2">
        <v>87</v>
      </c>
      <c r="E640" s="3" t="s">
        <v>9</v>
      </c>
      <c r="F640" s="6">
        <v>45132</v>
      </c>
      <c r="G640" s="2">
        <v>125</v>
      </c>
      <c r="H640" s="9">
        <v>4.5</v>
      </c>
      <c r="I640">
        <f>ROUND(calls[[#This Row],[Satisfaction Rating]],0)</f>
        <v>5</v>
      </c>
      <c r="J640" t="str">
        <f>TEXT(calls[[#This Row],[Date of Call]],"DDDD")</f>
        <v>Tuesday</v>
      </c>
    </row>
    <row r="641" spans="2:10" x14ac:dyDescent="0.25">
      <c r="B641" s="8" t="s">
        <v>663</v>
      </c>
      <c r="C641" s="2" t="s">
        <v>19</v>
      </c>
      <c r="D641" s="2">
        <v>10</v>
      </c>
      <c r="E641" s="3" t="s">
        <v>6</v>
      </c>
      <c r="F641" s="6">
        <v>45133</v>
      </c>
      <c r="G641" s="2">
        <v>72</v>
      </c>
      <c r="H641" s="9">
        <v>3.7</v>
      </c>
      <c r="I641">
        <f>ROUND(calls[[#This Row],[Satisfaction Rating]],0)</f>
        <v>4</v>
      </c>
      <c r="J641" t="str">
        <f>TEXT(calls[[#This Row],[Date of Call]],"DDDD")</f>
        <v>Wednesday</v>
      </c>
    </row>
    <row r="642" spans="2:10" x14ac:dyDescent="0.25">
      <c r="B642" s="8" t="s">
        <v>664</v>
      </c>
      <c r="C642" s="2" t="s">
        <v>12</v>
      </c>
      <c r="D642" s="2">
        <v>138</v>
      </c>
      <c r="E642" s="3" t="s">
        <v>6</v>
      </c>
      <c r="F642" s="6">
        <v>45133</v>
      </c>
      <c r="G642" s="2">
        <v>195</v>
      </c>
      <c r="H642" s="9">
        <v>4.0999999999999996</v>
      </c>
      <c r="I642">
        <f>ROUND(calls[[#This Row],[Satisfaction Rating]],0)</f>
        <v>4</v>
      </c>
      <c r="J642" t="str">
        <f>TEXT(calls[[#This Row],[Date of Call]],"DDDD")</f>
        <v>Wednesday</v>
      </c>
    </row>
    <row r="643" spans="2:10" x14ac:dyDescent="0.25">
      <c r="B643" s="8" t="s">
        <v>665</v>
      </c>
      <c r="C643" s="2" t="s">
        <v>22</v>
      </c>
      <c r="D643" s="2">
        <v>31</v>
      </c>
      <c r="E643" s="3" t="s">
        <v>6</v>
      </c>
      <c r="F643" s="6">
        <v>45134</v>
      </c>
      <c r="G643" s="2">
        <v>160</v>
      </c>
      <c r="H643" s="9">
        <v>3.4</v>
      </c>
      <c r="I643">
        <f>ROUND(calls[[#This Row],[Satisfaction Rating]],0)</f>
        <v>3</v>
      </c>
      <c r="J643" t="str">
        <f>TEXT(calls[[#This Row],[Date of Call]],"DDDD")</f>
        <v>Thursday</v>
      </c>
    </row>
    <row r="644" spans="2:10" x14ac:dyDescent="0.25">
      <c r="B644" s="8" t="s">
        <v>666</v>
      </c>
      <c r="C644" s="2" t="s">
        <v>16</v>
      </c>
      <c r="D644" s="2">
        <v>75</v>
      </c>
      <c r="E644" s="3" t="s">
        <v>10</v>
      </c>
      <c r="F644" s="6">
        <v>45134</v>
      </c>
      <c r="G644" s="2">
        <v>78</v>
      </c>
      <c r="H644" s="9">
        <v>3.3</v>
      </c>
      <c r="I644">
        <f>ROUND(calls[[#This Row],[Satisfaction Rating]],0)</f>
        <v>3</v>
      </c>
      <c r="J644" t="str">
        <f>TEXT(calls[[#This Row],[Date of Call]],"DDDD")</f>
        <v>Thursday</v>
      </c>
    </row>
    <row r="645" spans="2:10" x14ac:dyDescent="0.25">
      <c r="B645" s="8" t="s">
        <v>667</v>
      </c>
      <c r="C645" s="2" t="s">
        <v>20</v>
      </c>
      <c r="D645" s="2">
        <v>65</v>
      </c>
      <c r="E645" s="3" t="s">
        <v>10</v>
      </c>
      <c r="F645" s="6">
        <v>45135</v>
      </c>
      <c r="G645" s="2">
        <v>70</v>
      </c>
      <c r="H645" s="9">
        <v>4.4000000000000004</v>
      </c>
      <c r="I645">
        <f>ROUND(calls[[#This Row],[Satisfaction Rating]],0)</f>
        <v>4</v>
      </c>
      <c r="J645" t="str">
        <f>TEXT(calls[[#This Row],[Date of Call]],"DDDD")</f>
        <v>Friday</v>
      </c>
    </row>
    <row r="646" spans="2:10" x14ac:dyDescent="0.25">
      <c r="B646" s="8" t="s">
        <v>668</v>
      </c>
      <c r="C646" s="2" t="s">
        <v>23</v>
      </c>
      <c r="D646" s="2">
        <v>106</v>
      </c>
      <c r="E646" s="3" t="s">
        <v>13</v>
      </c>
      <c r="F646" s="6">
        <v>45135</v>
      </c>
      <c r="G646" s="2">
        <v>105</v>
      </c>
      <c r="H646" s="9">
        <v>4.2</v>
      </c>
      <c r="I646">
        <f>ROUND(calls[[#This Row],[Satisfaction Rating]],0)</f>
        <v>4</v>
      </c>
      <c r="J646" t="str">
        <f>TEXT(calls[[#This Row],[Date of Call]],"DDDD")</f>
        <v>Friday</v>
      </c>
    </row>
    <row r="647" spans="2:10" x14ac:dyDescent="0.25">
      <c r="B647" s="8" t="s">
        <v>669</v>
      </c>
      <c r="C647" s="2" t="s">
        <v>20</v>
      </c>
      <c r="D647" s="2">
        <v>107</v>
      </c>
      <c r="E647" s="3" t="s">
        <v>13</v>
      </c>
      <c r="F647" s="6">
        <v>45136</v>
      </c>
      <c r="G647" s="2">
        <v>78</v>
      </c>
      <c r="H647" s="9">
        <v>3.4</v>
      </c>
      <c r="I647">
        <f>ROUND(calls[[#This Row],[Satisfaction Rating]],0)</f>
        <v>3</v>
      </c>
      <c r="J647" t="str">
        <f>TEXT(calls[[#This Row],[Date of Call]],"DDDD")</f>
        <v>Saturday</v>
      </c>
    </row>
    <row r="648" spans="2:10" x14ac:dyDescent="0.25">
      <c r="B648" s="8" t="s">
        <v>670</v>
      </c>
      <c r="C648" s="2" t="s">
        <v>17</v>
      </c>
      <c r="D648" s="2">
        <v>78</v>
      </c>
      <c r="E648" s="3" t="s">
        <v>13</v>
      </c>
      <c r="F648" s="6">
        <v>45138</v>
      </c>
      <c r="G648" s="2">
        <v>205</v>
      </c>
      <c r="H648" s="9">
        <v>4.4000000000000004</v>
      </c>
      <c r="I648">
        <f>ROUND(calls[[#This Row],[Satisfaction Rating]],0)</f>
        <v>4</v>
      </c>
      <c r="J648" t="str">
        <f>TEXT(calls[[#This Row],[Date of Call]],"DDDD")</f>
        <v>Monday</v>
      </c>
    </row>
    <row r="649" spans="2:10" x14ac:dyDescent="0.25">
      <c r="B649" s="8" t="s">
        <v>671</v>
      </c>
      <c r="C649" s="2" t="s">
        <v>24</v>
      </c>
      <c r="D649" s="2">
        <v>122</v>
      </c>
      <c r="E649" s="3" t="s">
        <v>13</v>
      </c>
      <c r="F649" s="6">
        <v>45138</v>
      </c>
      <c r="G649" s="2">
        <v>78</v>
      </c>
      <c r="H649" s="9">
        <v>2.7</v>
      </c>
      <c r="I649">
        <f>ROUND(calls[[#This Row],[Satisfaction Rating]],0)</f>
        <v>3</v>
      </c>
      <c r="J649" t="str">
        <f>TEXT(calls[[#This Row],[Date of Call]],"DDDD")</f>
        <v>Monday</v>
      </c>
    </row>
    <row r="650" spans="2:10" x14ac:dyDescent="0.25">
      <c r="B650" s="8" t="s">
        <v>672</v>
      </c>
      <c r="C650" s="2" t="s">
        <v>12</v>
      </c>
      <c r="D650" s="2">
        <v>58</v>
      </c>
      <c r="E650" s="3" t="s">
        <v>6</v>
      </c>
      <c r="F650" s="6">
        <v>45138</v>
      </c>
      <c r="G650" s="2">
        <v>38</v>
      </c>
      <c r="H650" s="9">
        <v>4.5</v>
      </c>
      <c r="I650">
        <f>ROUND(calls[[#This Row],[Satisfaction Rating]],0)</f>
        <v>5</v>
      </c>
      <c r="J650" t="str">
        <f>TEXT(calls[[#This Row],[Date of Call]],"DDDD")</f>
        <v>Monday</v>
      </c>
    </row>
    <row r="651" spans="2:10" x14ac:dyDescent="0.25">
      <c r="B651" s="8" t="s">
        <v>673</v>
      </c>
      <c r="C651" s="2" t="s">
        <v>17</v>
      </c>
      <c r="D651" s="2">
        <v>33</v>
      </c>
      <c r="E651" s="3" t="s">
        <v>11</v>
      </c>
      <c r="F651" s="6">
        <v>45138</v>
      </c>
      <c r="G651" s="2">
        <v>92</v>
      </c>
      <c r="H651" s="9">
        <v>1.7</v>
      </c>
      <c r="I651">
        <f>ROUND(calls[[#This Row],[Satisfaction Rating]],0)</f>
        <v>2</v>
      </c>
      <c r="J651" t="str">
        <f>TEXT(calls[[#This Row],[Date of Call]],"DDDD")</f>
        <v>Monday</v>
      </c>
    </row>
    <row r="652" spans="2:10" x14ac:dyDescent="0.25">
      <c r="B652" s="8" t="s">
        <v>674</v>
      </c>
      <c r="C652" s="2" t="s">
        <v>5</v>
      </c>
      <c r="D652" s="2">
        <v>164</v>
      </c>
      <c r="E652" s="3" t="s">
        <v>10</v>
      </c>
      <c r="F652" s="6">
        <v>45138</v>
      </c>
      <c r="G652" s="2">
        <v>36</v>
      </c>
      <c r="H652" s="9">
        <v>4.7</v>
      </c>
      <c r="I652">
        <f>ROUND(calls[[#This Row],[Satisfaction Rating]],0)</f>
        <v>5</v>
      </c>
      <c r="J652" t="str">
        <f>TEXT(calls[[#This Row],[Date of Call]],"DDDD")</f>
        <v>Monday</v>
      </c>
    </row>
    <row r="653" spans="2:10" x14ac:dyDescent="0.25">
      <c r="B653" s="8" t="s">
        <v>675</v>
      </c>
      <c r="C653" s="2" t="s">
        <v>16</v>
      </c>
      <c r="D653" s="2">
        <v>163</v>
      </c>
      <c r="E653" s="3" t="s">
        <v>9</v>
      </c>
      <c r="F653" s="6">
        <v>45138</v>
      </c>
      <c r="G653" s="2">
        <v>76</v>
      </c>
      <c r="H653" s="9">
        <v>4.4000000000000004</v>
      </c>
      <c r="I653">
        <f>ROUND(calls[[#This Row],[Satisfaction Rating]],0)</f>
        <v>4</v>
      </c>
      <c r="J653" t="str">
        <f>TEXT(calls[[#This Row],[Date of Call]],"DDDD")</f>
        <v>Monday</v>
      </c>
    </row>
    <row r="654" spans="2:10" x14ac:dyDescent="0.25">
      <c r="B654" s="8" t="s">
        <v>676</v>
      </c>
      <c r="C654" s="2" t="s">
        <v>15</v>
      </c>
      <c r="D654" s="2">
        <v>71</v>
      </c>
      <c r="E654" s="3" t="s">
        <v>10</v>
      </c>
      <c r="F654" s="6">
        <v>45140</v>
      </c>
      <c r="G654" s="2">
        <v>170</v>
      </c>
      <c r="H654" s="9">
        <v>3.5</v>
      </c>
      <c r="I654">
        <f>ROUND(calls[[#This Row],[Satisfaction Rating]],0)</f>
        <v>4</v>
      </c>
      <c r="J654" t="str">
        <f>TEXT(calls[[#This Row],[Date of Call]],"DDDD")</f>
        <v>Wednesday</v>
      </c>
    </row>
    <row r="655" spans="2:10" x14ac:dyDescent="0.25">
      <c r="B655" s="8" t="s">
        <v>677</v>
      </c>
      <c r="C655" s="2" t="s">
        <v>17</v>
      </c>
      <c r="D655" s="2">
        <v>103</v>
      </c>
      <c r="E655" s="3" t="s">
        <v>6</v>
      </c>
      <c r="F655" s="6">
        <v>45141</v>
      </c>
      <c r="G655" s="2">
        <v>117</v>
      </c>
      <c r="H655" s="9">
        <v>4.7</v>
      </c>
      <c r="I655">
        <f>ROUND(calls[[#This Row],[Satisfaction Rating]],0)</f>
        <v>5</v>
      </c>
      <c r="J655" t="str">
        <f>TEXT(calls[[#This Row],[Date of Call]],"DDDD")</f>
        <v>Thursday</v>
      </c>
    </row>
    <row r="656" spans="2:10" x14ac:dyDescent="0.25">
      <c r="B656" s="8" t="s">
        <v>678</v>
      </c>
      <c r="C656" s="2" t="s">
        <v>7</v>
      </c>
      <c r="D656" s="2">
        <v>69</v>
      </c>
      <c r="E656" s="3" t="s">
        <v>9</v>
      </c>
      <c r="F656" s="6">
        <v>45141</v>
      </c>
      <c r="G656" s="2">
        <v>20</v>
      </c>
      <c r="H656" s="9">
        <v>4.3</v>
      </c>
      <c r="I656">
        <f>ROUND(calls[[#This Row],[Satisfaction Rating]],0)</f>
        <v>4</v>
      </c>
      <c r="J656" t="str">
        <f>TEXT(calls[[#This Row],[Date of Call]],"DDDD")</f>
        <v>Thursday</v>
      </c>
    </row>
    <row r="657" spans="2:10" x14ac:dyDescent="0.25">
      <c r="B657" s="8" t="s">
        <v>679</v>
      </c>
      <c r="C657" s="2" t="s">
        <v>16</v>
      </c>
      <c r="D657" s="2">
        <v>111</v>
      </c>
      <c r="E657" s="3" t="s">
        <v>6</v>
      </c>
      <c r="F657" s="6">
        <v>45141</v>
      </c>
      <c r="G657" s="2">
        <v>99</v>
      </c>
      <c r="H657" s="9">
        <v>4.0999999999999996</v>
      </c>
      <c r="I657">
        <f>ROUND(calls[[#This Row],[Satisfaction Rating]],0)</f>
        <v>4</v>
      </c>
      <c r="J657" t="str">
        <f>TEXT(calls[[#This Row],[Date of Call]],"DDDD")</f>
        <v>Thursday</v>
      </c>
    </row>
    <row r="658" spans="2:10" x14ac:dyDescent="0.25">
      <c r="B658" s="8" t="s">
        <v>680</v>
      </c>
      <c r="C658" s="2" t="s">
        <v>18</v>
      </c>
      <c r="D658" s="2">
        <v>97</v>
      </c>
      <c r="E658" s="3" t="s">
        <v>9</v>
      </c>
      <c r="F658" s="6">
        <v>45142</v>
      </c>
      <c r="G658" s="2">
        <v>105</v>
      </c>
      <c r="H658" s="9">
        <v>2.9</v>
      </c>
      <c r="I658">
        <f>ROUND(calls[[#This Row],[Satisfaction Rating]],0)</f>
        <v>3</v>
      </c>
      <c r="J658" t="str">
        <f>TEXT(calls[[#This Row],[Date of Call]],"DDDD")</f>
        <v>Friday</v>
      </c>
    </row>
    <row r="659" spans="2:10" x14ac:dyDescent="0.25">
      <c r="B659" s="8" t="s">
        <v>681</v>
      </c>
      <c r="C659" s="2" t="s">
        <v>14</v>
      </c>
      <c r="D659" s="2">
        <v>144</v>
      </c>
      <c r="E659" s="3" t="s">
        <v>13</v>
      </c>
      <c r="F659" s="6">
        <v>45142</v>
      </c>
      <c r="G659" s="2">
        <v>195</v>
      </c>
      <c r="H659" s="9">
        <v>3.4</v>
      </c>
      <c r="I659">
        <f>ROUND(calls[[#This Row],[Satisfaction Rating]],0)</f>
        <v>3</v>
      </c>
      <c r="J659" t="str">
        <f>TEXT(calls[[#This Row],[Date of Call]],"DDDD")</f>
        <v>Friday</v>
      </c>
    </row>
    <row r="660" spans="2:10" x14ac:dyDescent="0.25">
      <c r="B660" s="8" t="s">
        <v>682</v>
      </c>
      <c r="C660" s="2" t="s">
        <v>23</v>
      </c>
      <c r="D660" s="2">
        <v>56</v>
      </c>
      <c r="E660" s="3" t="s">
        <v>9</v>
      </c>
      <c r="F660" s="6">
        <v>45143</v>
      </c>
      <c r="G660" s="2">
        <v>152</v>
      </c>
      <c r="H660" s="9">
        <v>4.5999999999999996</v>
      </c>
      <c r="I660">
        <f>ROUND(calls[[#This Row],[Satisfaction Rating]],0)</f>
        <v>5</v>
      </c>
      <c r="J660" t="str">
        <f>TEXT(calls[[#This Row],[Date of Call]],"DDDD")</f>
        <v>Saturday</v>
      </c>
    </row>
    <row r="661" spans="2:10" x14ac:dyDescent="0.25">
      <c r="B661" s="8" t="s">
        <v>683</v>
      </c>
      <c r="C661" s="2" t="s">
        <v>14</v>
      </c>
      <c r="D661" s="2">
        <v>132</v>
      </c>
      <c r="E661" s="3" t="s">
        <v>13</v>
      </c>
      <c r="F661" s="6">
        <v>45144</v>
      </c>
      <c r="G661" s="2">
        <v>195</v>
      </c>
      <c r="H661" s="9">
        <v>4.9000000000000004</v>
      </c>
      <c r="I661">
        <f>ROUND(calls[[#This Row],[Satisfaction Rating]],0)</f>
        <v>5</v>
      </c>
      <c r="J661" t="str">
        <f>TEXT(calls[[#This Row],[Date of Call]],"DDDD")</f>
        <v>Sunday</v>
      </c>
    </row>
    <row r="662" spans="2:10" x14ac:dyDescent="0.25">
      <c r="B662" s="8" t="s">
        <v>684</v>
      </c>
      <c r="C662" s="2" t="s">
        <v>15</v>
      </c>
      <c r="D662" s="2">
        <v>72</v>
      </c>
      <c r="E662" s="3" t="s">
        <v>11</v>
      </c>
      <c r="F662" s="6">
        <v>45144</v>
      </c>
      <c r="G662" s="2">
        <v>70</v>
      </c>
      <c r="H662" s="9">
        <v>3.6</v>
      </c>
      <c r="I662">
        <f>ROUND(calls[[#This Row],[Satisfaction Rating]],0)</f>
        <v>4</v>
      </c>
      <c r="J662" t="str">
        <f>TEXT(calls[[#This Row],[Date of Call]],"DDDD")</f>
        <v>Sunday</v>
      </c>
    </row>
    <row r="663" spans="2:10" x14ac:dyDescent="0.25">
      <c r="B663" s="8" t="s">
        <v>685</v>
      </c>
      <c r="C663" s="2" t="s">
        <v>16</v>
      </c>
      <c r="D663" s="2">
        <v>18</v>
      </c>
      <c r="E663" s="3" t="s">
        <v>11</v>
      </c>
      <c r="F663" s="6">
        <v>45144</v>
      </c>
      <c r="G663" s="2">
        <v>22</v>
      </c>
      <c r="H663" s="9">
        <v>3.5</v>
      </c>
      <c r="I663">
        <f>ROUND(calls[[#This Row],[Satisfaction Rating]],0)</f>
        <v>4</v>
      </c>
      <c r="J663" t="str">
        <f>TEXT(calls[[#This Row],[Date of Call]],"DDDD")</f>
        <v>Sunday</v>
      </c>
    </row>
    <row r="664" spans="2:10" x14ac:dyDescent="0.25">
      <c r="B664" s="8" t="s">
        <v>686</v>
      </c>
      <c r="C664" s="2" t="s">
        <v>8</v>
      </c>
      <c r="D664" s="2">
        <v>115</v>
      </c>
      <c r="E664" s="3" t="s">
        <v>6</v>
      </c>
      <c r="F664" s="6">
        <v>45145</v>
      </c>
      <c r="G664" s="2">
        <v>40</v>
      </c>
      <c r="H664" s="9">
        <v>3.3</v>
      </c>
      <c r="I664">
        <f>ROUND(calls[[#This Row],[Satisfaction Rating]],0)</f>
        <v>3</v>
      </c>
      <c r="J664" t="str">
        <f>TEXT(calls[[#This Row],[Date of Call]],"DDDD")</f>
        <v>Monday</v>
      </c>
    </row>
    <row r="665" spans="2:10" x14ac:dyDescent="0.25">
      <c r="B665" s="8" t="s">
        <v>687</v>
      </c>
      <c r="C665" s="2" t="s">
        <v>8</v>
      </c>
      <c r="D665" s="2">
        <v>124</v>
      </c>
      <c r="E665" s="3" t="s">
        <v>9</v>
      </c>
      <c r="F665" s="6">
        <v>45146</v>
      </c>
      <c r="G665" s="2">
        <v>54</v>
      </c>
      <c r="H665" s="9">
        <v>3.8</v>
      </c>
      <c r="I665">
        <f>ROUND(calls[[#This Row],[Satisfaction Rating]],0)</f>
        <v>4</v>
      </c>
      <c r="J665" t="str">
        <f>TEXT(calls[[#This Row],[Date of Call]],"DDDD")</f>
        <v>Tuesday</v>
      </c>
    </row>
    <row r="666" spans="2:10" x14ac:dyDescent="0.25">
      <c r="B666" s="8" t="s">
        <v>688</v>
      </c>
      <c r="C666" s="2" t="s">
        <v>12</v>
      </c>
      <c r="D666" s="2">
        <v>130</v>
      </c>
      <c r="E666" s="3" t="s">
        <v>9</v>
      </c>
      <c r="F666" s="6">
        <v>45146</v>
      </c>
      <c r="G666" s="2">
        <v>60</v>
      </c>
      <c r="H666" s="9">
        <v>2.5</v>
      </c>
      <c r="I666">
        <f>ROUND(calls[[#This Row],[Satisfaction Rating]],0)</f>
        <v>3</v>
      </c>
      <c r="J666" t="str">
        <f>TEXT(calls[[#This Row],[Date of Call]],"DDDD")</f>
        <v>Tuesday</v>
      </c>
    </row>
    <row r="667" spans="2:10" x14ac:dyDescent="0.25">
      <c r="B667" s="8" t="s">
        <v>689</v>
      </c>
      <c r="C667" s="2" t="s">
        <v>19</v>
      </c>
      <c r="D667" s="2">
        <v>120</v>
      </c>
      <c r="E667" s="3" t="s">
        <v>10</v>
      </c>
      <c r="F667" s="6">
        <v>45148</v>
      </c>
      <c r="G667" s="2">
        <v>58</v>
      </c>
      <c r="H667" s="9">
        <v>4.5999999999999996</v>
      </c>
      <c r="I667">
        <f>ROUND(calls[[#This Row],[Satisfaction Rating]],0)</f>
        <v>5</v>
      </c>
      <c r="J667" t="str">
        <f>TEXT(calls[[#This Row],[Date of Call]],"DDDD")</f>
        <v>Thursday</v>
      </c>
    </row>
    <row r="668" spans="2:10" x14ac:dyDescent="0.25">
      <c r="B668" s="8" t="s">
        <v>690</v>
      </c>
      <c r="C668" s="2" t="s">
        <v>18</v>
      </c>
      <c r="D668" s="2">
        <v>75</v>
      </c>
      <c r="E668" s="3" t="s">
        <v>6</v>
      </c>
      <c r="F668" s="6">
        <v>45148</v>
      </c>
      <c r="G668" s="2">
        <v>220</v>
      </c>
      <c r="H668" s="9">
        <v>4.7</v>
      </c>
      <c r="I668">
        <f>ROUND(calls[[#This Row],[Satisfaction Rating]],0)</f>
        <v>5</v>
      </c>
      <c r="J668" t="str">
        <f>TEXT(calls[[#This Row],[Date of Call]],"DDDD")</f>
        <v>Thursday</v>
      </c>
    </row>
    <row r="669" spans="2:10" x14ac:dyDescent="0.25">
      <c r="B669" s="8" t="s">
        <v>691</v>
      </c>
      <c r="C669" s="2" t="s">
        <v>20</v>
      </c>
      <c r="D669" s="2">
        <v>63</v>
      </c>
      <c r="E669" s="3" t="s">
        <v>6</v>
      </c>
      <c r="F669" s="6">
        <v>45148</v>
      </c>
      <c r="G669" s="2">
        <v>27</v>
      </c>
      <c r="H669" s="9">
        <v>3.6</v>
      </c>
      <c r="I669">
        <f>ROUND(calls[[#This Row],[Satisfaction Rating]],0)</f>
        <v>4</v>
      </c>
      <c r="J669" t="str">
        <f>TEXT(calls[[#This Row],[Date of Call]],"DDDD")</f>
        <v>Thursday</v>
      </c>
    </row>
    <row r="670" spans="2:10" x14ac:dyDescent="0.25">
      <c r="B670" s="8" t="s">
        <v>692</v>
      </c>
      <c r="C670" s="2" t="s">
        <v>14</v>
      </c>
      <c r="D670" s="2">
        <v>74</v>
      </c>
      <c r="E670" s="3" t="s">
        <v>6</v>
      </c>
      <c r="F670" s="6">
        <v>45150</v>
      </c>
      <c r="G670" s="2">
        <v>26</v>
      </c>
      <c r="H670" s="9">
        <v>4.3</v>
      </c>
      <c r="I670">
        <f>ROUND(calls[[#This Row],[Satisfaction Rating]],0)</f>
        <v>4</v>
      </c>
      <c r="J670" t="str">
        <f>TEXT(calls[[#This Row],[Date of Call]],"DDDD")</f>
        <v>Saturday</v>
      </c>
    </row>
    <row r="671" spans="2:10" x14ac:dyDescent="0.25">
      <c r="B671" s="8" t="s">
        <v>693</v>
      </c>
      <c r="C671" s="2" t="s">
        <v>7</v>
      </c>
      <c r="D671" s="2">
        <v>134</v>
      </c>
      <c r="E671" s="3" t="s">
        <v>13</v>
      </c>
      <c r="F671" s="6">
        <v>45151</v>
      </c>
      <c r="G671" s="2">
        <v>160</v>
      </c>
      <c r="H671" s="9">
        <v>4.7</v>
      </c>
      <c r="I671">
        <f>ROUND(calls[[#This Row],[Satisfaction Rating]],0)</f>
        <v>5</v>
      </c>
      <c r="J671" t="str">
        <f>TEXT(calls[[#This Row],[Date of Call]],"DDDD")</f>
        <v>Sunday</v>
      </c>
    </row>
    <row r="672" spans="2:10" x14ac:dyDescent="0.25">
      <c r="B672" s="8" t="s">
        <v>694</v>
      </c>
      <c r="C672" s="2" t="s">
        <v>16</v>
      </c>
      <c r="D672" s="2">
        <v>103</v>
      </c>
      <c r="E672" s="3" t="s">
        <v>9</v>
      </c>
      <c r="F672" s="6">
        <v>45151</v>
      </c>
      <c r="G672" s="2">
        <v>200</v>
      </c>
      <c r="H672" s="9">
        <v>4.9000000000000004</v>
      </c>
      <c r="I672">
        <f>ROUND(calls[[#This Row],[Satisfaction Rating]],0)</f>
        <v>5</v>
      </c>
      <c r="J672" t="str">
        <f>TEXT(calls[[#This Row],[Date of Call]],"DDDD")</f>
        <v>Sunday</v>
      </c>
    </row>
    <row r="673" spans="2:10" x14ac:dyDescent="0.25">
      <c r="B673" s="8" t="s">
        <v>695</v>
      </c>
      <c r="C673" s="2" t="s">
        <v>16</v>
      </c>
      <c r="D673" s="2">
        <v>155</v>
      </c>
      <c r="E673" s="3" t="s">
        <v>10</v>
      </c>
      <c r="F673" s="6">
        <v>45154</v>
      </c>
      <c r="G673" s="2">
        <v>135</v>
      </c>
      <c r="H673" s="9">
        <v>4.9000000000000004</v>
      </c>
      <c r="I673">
        <f>ROUND(calls[[#This Row],[Satisfaction Rating]],0)</f>
        <v>5</v>
      </c>
      <c r="J673" t="str">
        <f>TEXT(calls[[#This Row],[Date of Call]],"DDDD")</f>
        <v>Wednesday</v>
      </c>
    </row>
    <row r="674" spans="2:10" x14ac:dyDescent="0.25">
      <c r="B674" s="8" t="s">
        <v>696</v>
      </c>
      <c r="C674" s="2" t="s">
        <v>20</v>
      </c>
      <c r="D674" s="2">
        <v>128</v>
      </c>
      <c r="E674" s="3" t="s">
        <v>9</v>
      </c>
      <c r="F674" s="6">
        <v>45155</v>
      </c>
      <c r="G674" s="2">
        <v>22</v>
      </c>
      <c r="H674" s="9">
        <v>1.9</v>
      </c>
      <c r="I674">
        <f>ROUND(calls[[#This Row],[Satisfaction Rating]],0)</f>
        <v>2</v>
      </c>
      <c r="J674" t="str">
        <f>TEXT(calls[[#This Row],[Date of Call]],"DDDD")</f>
        <v>Thursday</v>
      </c>
    </row>
    <row r="675" spans="2:10" x14ac:dyDescent="0.25">
      <c r="B675" s="8" t="s">
        <v>697</v>
      </c>
      <c r="C675" s="2" t="s">
        <v>18</v>
      </c>
      <c r="D675" s="2">
        <v>89</v>
      </c>
      <c r="E675" s="3" t="s">
        <v>13</v>
      </c>
      <c r="F675" s="6">
        <v>45156</v>
      </c>
      <c r="G675" s="2">
        <v>164</v>
      </c>
      <c r="H675" s="9">
        <v>4.5</v>
      </c>
      <c r="I675">
        <f>ROUND(calls[[#This Row],[Satisfaction Rating]],0)</f>
        <v>5</v>
      </c>
      <c r="J675" t="str">
        <f>TEXT(calls[[#This Row],[Date of Call]],"DDDD")</f>
        <v>Friday</v>
      </c>
    </row>
    <row r="676" spans="2:10" x14ac:dyDescent="0.25">
      <c r="B676" s="8" t="s">
        <v>698</v>
      </c>
      <c r="C676" s="2" t="s">
        <v>8</v>
      </c>
      <c r="D676" s="2">
        <v>81</v>
      </c>
      <c r="E676" s="3" t="s">
        <v>10</v>
      </c>
      <c r="F676" s="6">
        <v>45156</v>
      </c>
      <c r="G676" s="2">
        <v>21</v>
      </c>
      <c r="H676" s="9">
        <v>4.9000000000000004</v>
      </c>
      <c r="I676">
        <f>ROUND(calls[[#This Row],[Satisfaction Rating]],0)</f>
        <v>5</v>
      </c>
      <c r="J676" t="str">
        <f>TEXT(calls[[#This Row],[Date of Call]],"DDDD")</f>
        <v>Friday</v>
      </c>
    </row>
    <row r="677" spans="2:10" x14ac:dyDescent="0.25">
      <c r="B677" s="8" t="s">
        <v>699</v>
      </c>
      <c r="C677" s="2" t="s">
        <v>18</v>
      </c>
      <c r="D677" s="2">
        <v>66</v>
      </c>
      <c r="E677" s="3" t="s">
        <v>13</v>
      </c>
      <c r="F677" s="6">
        <v>45157</v>
      </c>
      <c r="G677" s="2">
        <v>120</v>
      </c>
      <c r="H677" s="9">
        <v>4.5</v>
      </c>
      <c r="I677">
        <f>ROUND(calls[[#This Row],[Satisfaction Rating]],0)</f>
        <v>5</v>
      </c>
      <c r="J677" t="str">
        <f>TEXT(calls[[#This Row],[Date of Call]],"DDDD")</f>
        <v>Saturday</v>
      </c>
    </row>
    <row r="678" spans="2:10" x14ac:dyDescent="0.25">
      <c r="B678" s="8" t="s">
        <v>700</v>
      </c>
      <c r="C678" s="2" t="s">
        <v>15</v>
      </c>
      <c r="D678" s="2">
        <v>61</v>
      </c>
      <c r="E678" s="3" t="s">
        <v>11</v>
      </c>
      <c r="F678" s="6">
        <v>45157</v>
      </c>
      <c r="G678" s="2">
        <v>93</v>
      </c>
      <c r="H678" s="9">
        <v>2.7</v>
      </c>
      <c r="I678">
        <f>ROUND(calls[[#This Row],[Satisfaction Rating]],0)</f>
        <v>3</v>
      </c>
      <c r="J678" t="str">
        <f>TEXT(calls[[#This Row],[Date of Call]],"DDDD")</f>
        <v>Saturday</v>
      </c>
    </row>
    <row r="679" spans="2:10" x14ac:dyDescent="0.25">
      <c r="B679" s="8" t="s">
        <v>701</v>
      </c>
      <c r="C679" s="2" t="s">
        <v>8</v>
      </c>
      <c r="D679" s="2">
        <v>128</v>
      </c>
      <c r="E679" s="3" t="s">
        <v>11</v>
      </c>
      <c r="F679" s="6">
        <v>45157</v>
      </c>
      <c r="G679" s="2">
        <v>135</v>
      </c>
      <c r="H679" s="9">
        <v>2.1</v>
      </c>
      <c r="I679">
        <f>ROUND(calls[[#This Row],[Satisfaction Rating]],0)</f>
        <v>2</v>
      </c>
      <c r="J679" t="str">
        <f>TEXT(calls[[#This Row],[Date of Call]],"DDDD")</f>
        <v>Saturday</v>
      </c>
    </row>
    <row r="680" spans="2:10" x14ac:dyDescent="0.25">
      <c r="B680" s="8" t="s">
        <v>702</v>
      </c>
      <c r="C680" s="2" t="s">
        <v>16</v>
      </c>
      <c r="D680" s="2">
        <v>30</v>
      </c>
      <c r="E680" s="3" t="s">
        <v>10</v>
      </c>
      <c r="F680" s="6">
        <v>45157</v>
      </c>
      <c r="G680" s="2">
        <v>210</v>
      </c>
      <c r="H680" s="9">
        <v>4.2</v>
      </c>
      <c r="I680">
        <f>ROUND(calls[[#This Row],[Satisfaction Rating]],0)</f>
        <v>4</v>
      </c>
      <c r="J680" t="str">
        <f>TEXT(calls[[#This Row],[Date of Call]],"DDDD")</f>
        <v>Saturday</v>
      </c>
    </row>
    <row r="681" spans="2:10" x14ac:dyDescent="0.25">
      <c r="B681" s="8" t="s">
        <v>703</v>
      </c>
      <c r="C681" s="2" t="s">
        <v>5</v>
      </c>
      <c r="D681" s="2">
        <v>63</v>
      </c>
      <c r="E681" s="3" t="s">
        <v>11</v>
      </c>
      <c r="F681" s="6">
        <v>45158</v>
      </c>
      <c r="G681" s="2">
        <v>29</v>
      </c>
      <c r="H681" s="9">
        <v>4.7</v>
      </c>
      <c r="I681">
        <f>ROUND(calls[[#This Row],[Satisfaction Rating]],0)</f>
        <v>5</v>
      </c>
      <c r="J681" t="str">
        <f>TEXT(calls[[#This Row],[Date of Call]],"DDDD")</f>
        <v>Sunday</v>
      </c>
    </row>
    <row r="682" spans="2:10" x14ac:dyDescent="0.25">
      <c r="B682" s="8" t="s">
        <v>704</v>
      </c>
      <c r="C682" s="2" t="s">
        <v>24</v>
      </c>
      <c r="D682" s="2">
        <v>64</v>
      </c>
      <c r="E682" s="3" t="s">
        <v>6</v>
      </c>
      <c r="F682" s="6">
        <v>45158</v>
      </c>
      <c r="G682" s="2">
        <v>111</v>
      </c>
      <c r="H682" s="9">
        <v>3.9</v>
      </c>
      <c r="I682">
        <f>ROUND(calls[[#This Row],[Satisfaction Rating]],0)</f>
        <v>4</v>
      </c>
      <c r="J682" t="str">
        <f>TEXT(calls[[#This Row],[Date of Call]],"DDDD")</f>
        <v>Sunday</v>
      </c>
    </row>
    <row r="683" spans="2:10" x14ac:dyDescent="0.25">
      <c r="B683" s="8" t="s">
        <v>705</v>
      </c>
      <c r="C683" s="2" t="s">
        <v>21</v>
      </c>
      <c r="D683" s="2">
        <v>151</v>
      </c>
      <c r="E683" s="3" t="s">
        <v>9</v>
      </c>
      <c r="F683" s="6">
        <v>45159</v>
      </c>
      <c r="G683" s="2">
        <v>63</v>
      </c>
      <c r="H683" s="9">
        <v>4.0999999999999996</v>
      </c>
      <c r="I683">
        <f>ROUND(calls[[#This Row],[Satisfaction Rating]],0)</f>
        <v>4</v>
      </c>
      <c r="J683" t="str">
        <f>TEXT(calls[[#This Row],[Date of Call]],"DDDD")</f>
        <v>Monday</v>
      </c>
    </row>
    <row r="684" spans="2:10" x14ac:dyDescent="0.25">
      <c r="B684" s="8" t="s">
        <v>706</v>
      </c>
      <c r="C684" s="2" t="s">
        <v>17</v>
      </c>
      <c r="D684" s="2">
        <v>116</v>
      </c>
      <c r="E684" s="3" t="s">
        <v>13</v>
      </c>
      <c r="F684" s="6">
        <v>45159</v>
      </c>
      <c r="G684" s="2">
        <v>44</v>
      </c>
      <c r="H684" s="9">
        <v>3.8</v>
      </c>
      <c r="I684">
        <f>ROUND(calls[[#This Row],[Satisfaction Rating]],0)</f>
        <v>4</v>
      </c>
      <c r="J684" t="str">
        <f>TEXT(calls[[#This Row],[Date of Call]],"DDDD")</f>
        <v>Monday</v>
      </c>
    </row>
    <row r="685" spans="2:10" x14ac:dyDescent="0.25">
      <c r="B685" s="8" t="s">
        <v>707</v>
      </c>
      <c r="C685" s="2" t="s">
        <v>21</v>
      </c>
      <c r="D685" s="2">
        <v>111</v>
      </c>
      <c r="E685" s="3" t="s">
        <v>13</v>
      </c>
      <c r="F685" s="6">
        <v>45161</v>
      </c>
      <c r="G685" s="2">
        <v>120</v>
      </c>
      <c r="H685" s="9">
        <v>1.8</v>
      </c>
      <c r="I685">
        <f>ROUND(calls[[#This Row],[Satisfaction Rating]],0)</f>
        <v>2</v>
      </c>
      <c r="J685" t="str">
        <f>TEXT(calls[[#This Row],[Date of Call]],"DDDD")</f>
        <v>Wednesday</v>
      </c>
    </row>
    <row r="686" spans="2:10" x14ac:dyDescent="0.25">
      <c r="B686" s="8" t="s">
        <v>708</v>
      </c>
      <c r="C686" s="2" t="s">
        <v>8</v>
      </c>
      <c r="D686" s="2">
        <v>15</v>
      </c>
      <c r="E686" s="3" t="s">
        <v>13</v>
      </c>
      <c r="F686" s="6">
        <v>45161</v>
      </c>
      <c r="G686" s="2">
        <v>120</v>
      </c>
      <c r="H686" s="9">
        <v>4.0999999999999996</v>
      </c>
      <c r="I686">
        <f>ROUND(calls[[#This Row],[Satisfaction Rating]],0)</f>
        <v>4</v>
      </c>
      <c r="J686" t="str">
        <f>TEXT(calls[[#This Row],[Date of Call]],"DDDD")</f>
        <v>Wednesday</v>
      </c>
    </row>
    <row r="687" spans="2:10" x14ac:dyDescent="0.25">
      <c r="B687" s="8" t="s">
        <v>709</v>
      </c>
      <c r="C687" s="2" t="s">
        <v>24</v>
      </c>
      <c r="D687" s="2">
        <v>18</v>
      </c>
      <c r="E687" s="3" t="s">
        <v>9</v>
      </c>
      <c r="F687" s="6">
        <v>45162</v>
      </c>
      <c r="G687" s="2">
        <v>40</v>
      </c>
      <c r="H687" s="9">
        <v>4.4000000000000004</v>
      </c>
      <c r="I687">
        <f>ROUND(calls[[#This Row],[Satisfaction Rating]],0)</f>
        <v>4</v>
      </c>
      <c r="J687" t="str">
        <f>TEXT(calls[[#This Row],[Date of Call]],"DDDD")</f>
        <v>Thursday</v>
      </c>
    </row>
    <row r="688" spans="2:10" x14ac:dyDescent="0.25">
      <c r="B688" s="8" t="s">
        <v>710</v>
      </c>
      <c r="C688" s="2" t="s">
        <v>15</v>
      </c>
      <c r="D688" s="2">
        <v>146</v>
      </c>
      <c r="E688" s="3" t="s">
        <v>11</v>
      </c>
      <c r="F688" s="6">
        <v>45162</v>
      </c>
      <c r="G688" s="2">
        <v>160</v>
      </c>
      <c r="H688" s="9">
        <v>4.0999999999999996</v>
      </c>
      <c r="I688">
        <f>ROUND(calls[[#This Row],[Satisfaction Rating]],0)</f>
        <v>4</v>
      </c>
      <c r="J688" t="str">
        <f>TEXT(calls[[#This Row],[Date of Call]],"DDDD")</f>
        <v>Thursday</v>
      </c>
    </row>
    <row r="689" spans="2:10" x14ac:dyDescent="0.25">
      <c r="B689" s="8" t="s">
        <v>711</v>
      </c>
      <c r="C689" s="2" t="s">
        <v>16</v>
      </c>
      <c r="D689" s="2">
        <v>73</v>
      </c>
      <c r="E689" s="3" t="s">
        <v>13</v>
      </c>
      <c r="F689" s="6">
        <v>45163</v>
      </c>
      <c r="G689" s="2">
        <v>44</v>
      </c>
      <c r="H689" s="9">
        <v>3.8</v>
      </c>
      <c r="I689">
        <f>ROUND(calls[[#This Row],[Satisfaction Rating]],0)</f>
        <v>4</v>
      </c>
      <c r="J689" t="str">
        <f>TEXT(calls[[#This Row],[Date of Call]],"DDDD")</f>
        <v>Friday</v>
      </c>
    </row>
    <row r="690" spans="2:10" x14ac:dyDescent="0.25">
      <c r="B690" s="8" t="s">
        <v>712</v>
      </c>
      <c r="C690" s="2" t="s">
        <v>21</v>
      </c>
      <c r="D690" s="2">
        <v>108</v>
      </c>
      <c r="E690" s="3" t="s">
        <v>9</v>
      </c>
      <c r="F690" s="6">
        <v>45163</v>
      </c>
      <c r="G690" s="2">
        <v>80</v>
      </c>
      <c r="H690" s="9">
        <v>4.3</v>
      </c>
      <c r="I690">
        <f>ROUND(calls[[#This Row],[Satisfaction Rating]],0)</f>
        <v>4</v>
      </c>
      <c r="J690" t="str">
        <f>TEXT(calls[[#This Row],[Date of Call]],"DDDD")</f>
        <v>Friday</v>
      </c>
    </row>
    <row r="691" spans="2:10" x14ac:dyDescent="0.25">
      <c r="B691" s="8" t="s">
        <v>713</v>
      </c>
      <c r="C691" s="2" t="s">
        <v>7</v>
      </c>
      <c r="D691" s="2">
        <v>52</v>
      </c>
      <c r="E691" s="3" t="s">
        <v>9</v>
      </c>
      <c r="F691" s="6">
        <v>45164</v>
      </c>
      <c r="G691" s="2">
        <v>66</v>
      </c>
      <c r="H691" s="9">
        <v>4.5</v>
      </c>
      <c r="I691">
        <f>ROUND(calls[[#This Row],[Satisfaction Rating]],0)</f>
        <v>5</v>
      </c>
      <c r="J691" t="str">
        <f>TEXT(calls[[#This Row],[Date of Call]],"DDDD")</f>
        <v>Saturday</v>
      </c>
    </row>
    <row r="692" spans="2:10" x14ac:dyDescent="0.25">
      <c r="B692" s="8" t="s">
        <v>714</v>
      </c>
      <c r="C692" s="2" t="s">
        <v>17</v>
      </c>
      <c r="D692" s="2">
        <v>165</v>
      </c>
      <c r="E692" s="3" t="s">
        <v>6</v>
      </c>
      <c r="F692" s="6">
        <v>45164</v>
      </c>
      <c r="G692" s="2">
        <v>82</v>
      </c>
      <c r="H692" s="9">
        <v>3.4</v>
      </c>
      <c r="I692">
        <f>ROUND(calls[[#This Row],[Satisfaction Rating]],0)</f>
        <v>3</v>
      </c>
      <c r="J692" t="str">
        <f>TEXT(calls[[#This Row],[Date of Call]],"DDDD")</f>
        <v>Saturday</v>
      </c>
    </row>
    <row r="693" spans="2:10" x14ac:dyDescent="0.25">
      <c r="B693" s="8" t="s">
        <v>715</v>
      </c>
      <c r="C693" s="2" t="s">
        <v>15</v>
      </c>
      <c r="D693" s="2">
        <v>104</v>
      </c>
      <c r="E693" s="3" t="s">
        <v>13</v>
      </c>
      <c r="F693" s="6">
        <v>45164</v>
      </c>
      <c r="G693" s="2">
        <v>66</v>
      </c>
      <c r="H693" s="9">
        <v>4.8</v>
      </c>
      <c r="I693">
        <f>ROUND(calls[[#This Row],[Satisfaction Rating]],0)</f>
        <v>5</v>
      </c>
      <c r="J693" t="str">
        <f>TEXT(calls[[#This Row],[Date of Call]],"DDDD")</f>
        <v>Saturday</v>
      </c>
    </row>
    <row r="694" spans="2:10" x14ac:dyDescent="0.25">
      <c r="B694" s="8" t="s">
        <v>716</v>
      </c>
      <c r="C694" s="2" t="s">
        <v>16</v>
      </c>
      <c r="D694" s="2">
        <v>131</v>
      </c>
      <c r="E694" s="3" t="s">
        <v>11</v>
      </c>
      <c r="F694" s="6">
        <v>45164</v>
      </c>
      <c r="G694" s="2">
        <v>92</v>
      </c>
      <c r="H694" s="9">
        <v>4.9000000000000004</v>
      </c>
      <c r="I694">
        <f>ROUND(calls[[#This Row],[Satisfaction Rating]],0)</f>
        <v>5</v>
      </c>
      <c r="J694" t="str">
        <f>TEXT(calls[[#This Row],[Date of Call]],"DDDD")</f>
        <v>Saturday</v>
      </c>
    </row>
    <row r="695" spans="2:10" x14ac:dyDescent="0.25">
      <c r="B695" s="8" t="s">
        <v>717</v>
      </c>
      <c r="C695" s="2" t="s">
        <v>19</v>
      </c>
      <c r="D695" s="2">
        <v>80</v>
      </c>
      <c r="E695" s="3" t="s">
        <v>6</v>
      </c>
      <c r="F695" s="6">
        <v>45165</v>
      </c>
      <c r="G695" s="2">
        <v>104</v>
      </c>
      <c r="H695" s="9">
        <v>4.7</v>
      </c>
      <c r="I695">
        <f>ROUND(calls[[#This Row],[Satisfaction Rating]],0)</f>
        <v>5</v>
      </c>
      <c r="J695" t="str">
        <f>TEXT(calls[[#This Row],[Date of Call]],"DDDD")</f>
        <v>Sunday</v>
      </c>
    </row>
    <row r="696" spans="2:10" x14ac:dyDescent="0.25">
      <c r="B696" s="8" t="s">
        <v>718</v>
      </c>
      <c r="C696" s="2" t="s">
        <v>8</v>
      </c>
      <c r="D696" s="2">
        <v>49</v>
      </c>
      <c r="E696" s="3" t="s">
        <v>13</v>
      </c>
      <c r="F696" s="6">
        <v>45165</v>
      </c>
      <c r="G696" s="2">
        <v>105</v>
      </c>
      <c r="H696" s="9">
        <v>3.3</v>
      </c>
      <c r="I696">
        <f>ROUND(calls[[#This Row],[Satisfaction Rating]],0)</f>
        <v>3</v>
      </c>
      <c r="J696" t="str">
        <f>TEXT(calls[[#This Row],[Date of Call]],"DDDD")</f>
        <v>Sunday</v>
      </c>
    </row>
    <row r="697" spans="2:10" x14ac:dyDescent="0.25">
      <c r="B697" s="8" t="s">
        <v>719</v>
      </c>
      <c r="C697" s="2" t="s">
        <v>17</v>
      </c>
      <c r="D697" s="2">
        <v>73</v>
      </c>
      <c r="E697" s="3" t="s">
        <v>13</v>
      </c>
      <c r="F697" s="6">
        <v>45165</v>
      </c>
      <c r="G697" s="2">
        <v>100</v>
      </c>
      <c r="H697" s="9">
        <v>2.8</v>
      </c>
      <c r="I697">
        <f>ROUND(calls[[#This Row],[Satisfaction Rating]],0)</f>
        <v>3</v>
      </c>
      <c r="J697" t="str">
        <f>TEXT(calls[[#This Row],[Date of Call]],"DDDD")</f>
        <v>Sunday</v>
      </c>
    </row>
    <row r="698" spans="2:10" x14ac:dyDescent="0.25">
      <c r="B698" s="8" t="s">
        <v>720</v>
      </c>
      <c r="C698" s="2" t="s">
        <v>15</v>
      </c>
      <c r="D698" s="2">
        <v>117</v>
      </c>
      <c r="E698" s="3" t="s">
        <v>6</v>
      </c>
      <c r="F698" s="6">
        <v>45165</v>
      </c>
      <c r="G698" s="2">
        <v>90</v>
      </c>
      <c r="H698" s="9">
        <v>4.0999999999999996</v>
      </c>
      <c r="I698">
        <f>ROUND(calls[[#This Row],[Satisfaction Rating]],0)</f>
        <v>4</v>
      </c>
      <c r="J698" t="str">
        <f>TEXT(calls[[#This Row],[Date of Call]],"DDDD")</f>
        <v>Sunday</v>
      </c>
    </row>
    <row r="699" spans="2:10" x14ac:dyDescent="0.25">
      <c r="B699" s="8" t="s">
        <v>721</v>
      </c>
      <c r="C699" s="2" t="s">
        <v>23</v>
      </c>
      <c r="D699" s="2">
        <v>38</v>
      </c>
      <c r="E699" s="3" t="s">
        <v>10</v>
      </c>
      <c r="F699" s="6">
        <v>45165</v>
      </c>
      <c r="G699" s="2">
        <v>110</v>
      </c>
      <c r="H699" s="9">
        <v>3.5</v>
      </c>
      <c r="I699">
        <f>ROUND(calls[[#This Row],[Satisfaction Rating]],0)</f>
        <v>4</v>
      </c>
      <c r="J699" t="str">
        <f>TEXT(calls[[#This Row],[Date of Call]],"DDDD")</f>
        <v>Sunday</v>
      </c>
    </row>
    <row r="700" spans="2:10" x14ac:dyDescent="0.25">
      <c r="B700" s="8" t="s">
        <v>722</v>
      </c>
      <c r="C700" s="2" t="s">
        <v>7</v>
      </c>
      <c r="D700" s="2">
        <v>109</v>
      </c>
      <c r="E700" s="3" t="s">
        <v>6</v>
      </c>
      <c r="F700" s="6">
        <v>45167</v>
      </c>
      <c r="G700" s="2">
        <v>68</v>
      </c>
      <c r="H700" s="9">
        <v>2.2999999999999998</v>
      </c>
      <c r="I700">
        <f>ROUND(calls[[#This Row],[Satisfaction Rating]],0)</f>
        <v>2</v>
      </c>
      <c r="J700" t="str">
        <f>TEXT(calls[[#This Row],[Date of Call]],"DDDD")</f>
        <v>Tuesday</v>
      </c>
    </row>
    <row r="701" spans="2:10" x14ac:dyDescent="0.25">
      <c r="B701" s="8" t="s">
        <v>723</v>
      </c>
      <c r="C701" s="2" t="s">
        <v>8</v>
      </c>
      <c r="D701" s="2">
        <v>70</v>
      </c>
      <c r="E701" s="3" t="s">
        <v>9</v>
      </c>
      <c r="F701" s="6">
        <v>45168</v>
      </c>
      <c r="G701" s="2">
        <v>210</v>
      </c>
      <c r="H701" s="9">
        <v>4.0999999999999996</v>
      </c>
      <c r="I701">
        <f>ROUND(calls[[#This Row],[Satisfaction Rating]],0)</f>
        <v>4</v>
      </c>
      <c r="J701" t="str">
        <f>TEXT(calls[[#This Row],[Date of Call]],"DDDD")</f>
        <v>Wednesday</v>
      </c>
    </row>
    <row r="702" spans="2:10" x14ac:dyDescent="0.25">
      <c r="B702" s="8" t="s">
        <v>724</v>
      </c>
      <c r="C702" s="2" t="s">
        <v>12</v>
      </c>
      <c r="D702" s="2">
        <v>51</v>
      </c>
      <c r="E702" s="3" t="s">
        <v>10</v>
      </c>
      <c r="F702" s="6">
        <v>45168</v>
      </c>
      <c r="G702" s="2">
        <v>111</v>
      </c>
      <c r="H702" s="9">
        <v>4.3</v>
      </c>
      <c r="I702">
        <f>ROUND(calls[[#This Row],[Satisfaction Rating]],0)</f>
        <v>4</v>
      </c>
      <c r="J702" t="str">
        <f>TEXT(calls[[#This Row],[Date of Call]],"DDDD")</f>
        <v>Wednesday</v>
      </c>
    </row>
    <row r="703" spans="2:10" x14ac:dyDescent="0.25">
      <c r="B703" s="8" t="s">
        <v>725</v>
      </c>
      <c r="C703" s="2" t="s">
        <v>12</v>
      </c>
      <c r="D703" s="2">
        <v>100</v>
      </c>
      <c r="E703" s="3" t="s">
        <v>9</v>
      </c>
      <c r="F703" s="6">
        <v>45169</v>
      </c>
      <c r="G703" s="2">
        <v>45</v>
      </c>
      <c r="H703" s="9">
        <v>4.9000000000000004</v>
      </c>
      <c r="I703">
        <f>ROUND(calls[[#This Row],[Satisfaction Rating]],0)</f>
        <v>5</v>
      </c>
      <c r="J703" t="str">
        <f>TEXT(calls[[#This Row],[Date of Call]],"DDDD")</f>
        <v>Thursday</v>
      </c>
    </row>
    <row r="704" spans="2:10" x14ac:dyDescent="0.25">
      <c r="B704" s="8" t="s">
        <v>726</v>
      </c>
      <c r="C704" s="2" t="s">
        <v>14</v>
      </c>
      <c r="D704" s="2">
        <v>124</v>
      </c>
      <c r="E704" s="3" t="s">
        <v>10</v>
      </c>
      <c r="F704" s="6">
        <v>45170</v>
      </c>
      <c r="G704" s="2">
        <v>132</v>
      </c>
      <c r="H704" s="9">
        <v>4</v>
      </c>
      <c r="I704">
        <f>ROUND(calls[[#This Row],[Satisfaction Rating]],0)</f>
        <v>4</v>
      </c>
      <c r="J704" t="str">
        <f>TEXT(calls[[#This Row],[Date of Call]],"DDDD")</f>
        <v>Friday</v>
      </c>
    </row>
    <row r="705" spans="2:10" x14ac:dyDescent="0.25">
      <c r="B705" s="8" t="s">
        <v>727</v>
      </c>
      <c r="C705" s="2" t="s">
        <v>20</v>
      </c>
      <c r="D705" s="2">
        <v>143</v>
      </c>
      <c r="E705" s="3" t="s">
        <v>6</v>
      </c>
      <c r="F705" s="6">
        <v>45170</v>
      </c>
      <c r="G705" s="2">
        <v>20</v>
      </c>
      <c r="H705" s="9">
        <v>4.7</v>
      </c>
      <c r="I705">
        <f>ROUND(calls[[#This Row],[Satisfaction Rating]],0)</f>
        <v>5</v>
      </c>
      <c r="J705" t="str">
        <f>TEXT(calls[[#This Row],[Date of Call]],"DDDD")</f>
        <v>Friday</v>
      </c>
    </row>
    <row r="706" spans="2:10" x14ac:dyDescent="0.25">
      <c r="B706" s="8" t="s">
        <v>728</v>
      </c>
      <c r="C706" s="2" t="s">
        <v>18</v>
      </c>
      <c r="D706" s="2">
        <v>96</v>
      </c>
      <c r="E706" s="3" t="s">
        <v>13</v>
      </c>
      <c r="F706" s="6">
        <v>45170</v>
      </c>
      <c r="G706" s="2">
        <v>36</v>
      </c>
      <c r="H706" s="9">
        <v>3.4</v>
      </c>
      <c r="I706">
        <f>ROUND(calls[[#This Row],[Satisfaction Rating]],0)</f>
        <v>3</v>
      </c>
      <c r="J706" t="str">
        <f>TEXT(calls[[#This Row],[Date of Call]],"DDDD")</f>
        <v>Friday</v>
      </c>
    </row>
    <row r="707" spans="2:10" x14ac:dyDescent="0.25">
      <c r="B707" s="8" t="s">
        <v>729</v>
      </c>
      <c r="C707" s="2" t="s">
        <v>17</v>
      </c>
      <c r="D707" s="2">
        <v>84</v>
      </c>
      <c r="E707" s="3" t="s">
        <v>9</v>
      </c>
      <c r="F707" s="6">
        <v>45172</v>
      </c>
      <c r="G707" s="2">
        <v>72</v>
      </c>
      <c r="H707" s="9">
        <v>4</v>
      </c>
      <c r="I707">
        <f>ROUND(calls[[#This Row],[Satisfaction Rating]],0)</f>
        <v>4</v>
      </c>
      <c r="J707" t="str">
        <f>TEXT(calls[[#This Row],[Date of Call]],"DDDD")</f>
        <v>Sunday</v>
      </c>
    </row>
    <row r="708" spans="2:10" x14ac:dyDescent="0.25">
      <c r="B708" s="8" t="s">
        <v>730</v>
      </c>
      <c r="C708" s="2" t="s">
        <v>22</v>
      </c>
      <c r="D708" s="2">
        <v>111</v>
      </c>
      <c r="E708" s="3" t="s">
        <v>9</v>
      </c>
      <c r="F708" s="6">
        <v>45172</v>
      </c>
      <c r="G708" s="2">
        <v>63</v>
      </c>
      <c r="H708" s="9">
        <v>4.5</v>
      </c>
      <c r="I708">
        <f>ROUND(calls[[#This Row],[Satisfaction Rating]],0)</f>
        <v>5</v>
      </c>
      <c r="J708" t="str">
        <f>TEXT(calls[[#This Row],[Date of Call]],"DDDD")</f>
        <v>Sunday</v>
      </c>
    </row>
    <row r="709" spans="2:10" x14ac:dyDescent="0.25">
      <c r="B709" s="8" t="s">
        <v>731</v>
      </c>
      <c r="C709" s="2" t="s">
        <v>22</v>
      </c>
      <c r="D709" s="2">
        <v>103</v>
      </c>
      <c r="E709" s="3" t="s">
        <v>10</v>
      </c>
      <c r="F709" s="6">
        <v>45173</v>
      </c>
      <c r="G709" s="2">
        <v>44</v>
      </c>
      <c r="H709" s="9">
        <v>4.5</v>
      </c>
      <c r="I709">
        <f>ROUND(calls[[#This Row],[Satisfaction Rating]],0)</f>
        <v>5</v>
      </c>
      <c r="J709" t="str">
        <f>TEXT(calls[[#This Row],[Date of Call]],"DDDD")</f>
        <v>Monday</v>
      </c>
    </row>
    <row r="710" spans="2:10" x14ac:dyDescent="0.25">
      <c r="B710" s="8" t="s">
        <v>732</v>
      </c>
      <c r="C710" s="2" t="s">
        <v>20</v>
      </c>
      <c r="D710" s="2">
        <v>61</v>
      </c>
      <c r="E710" s="3" t="s">
        <v>11</v>
      </c>
      <c r="F710" s="6">
        <v>45173</v>
      </c>
      <c r="G710" s="2">
        <v>132</v>
      </c>
      <c r="H710" s="9">
        <v>4.9000000000000004</v>
      </c>
      <c r="I710">
        <f>ROUND(calls[[#This Row],[Satisfaction Rating]],0)</f>
        <v>5</v>
      </c>
      <c r="J710" t="str">
        <f>TEXT(calls[[#This Row],[Date of Call]],"DDDD")</f>
        <v>Monday</v>
      </c>
    </row>
    <row r="711" spans="2:10" x14ac:dyDescent="0.25">
      <c r="B711" s="8" t="s">
        <v>733</v>
      </c>
      <c r="C711" s="2" t="s">
        <v>16</v>
      </c>
      <c r="D711" s="2">
        <v>113</v>
      </c>
      <c r="E711" s="3" t="s">
        <v>13</v>
      </c>
      <c r="F711" s="6">
        <v>45173</v>
      </c>
      <c r="G711" s="2">
        <v>46</v>
      </c>
      <c r="H711" s="9">
        <v>4.4000000000000004</v>
      </c>
      <c r="I711">
        <f>ROUND(calls[[#This Row],[Satisfaction Rating]],0)</f>
        <v>4</v>
      </c>
      <c r="J711" t="str">
        <f>TEXT(calls[[#This Row],[Date of Call]],"DDDD")</f>
        <v>Monday</v>
      </c>
    </row>
    <row r="712" spans="2:10" x14ac:dyDescent="0.25">
      <c r="B712" s="8" t="s">
        <v>734</v>
      </c>
      <c r="C712" s="2" t="s">
        <v>16</v>
      </c>
      <c r="D712" s="2">
        <v>96</v>
      </c>
      <c r="E712" s="3" t="s">
        <v>13</v>
      </c>
      <c r="F712" s="6">
        <v>45173</v>
      </c>
      <c r="G712" s="2">
        <v>96</v>
      </c>
      <c r="H712" s="9">
        <v>2.9</v>
      </c>
      <c r="I712">
        <f>ROUND(calls[[#This Row],[Satisfaction Rating]],0)</f>
        <v>3</v>
      </c>
      <c r="J712" t="str">
        <f>TEXT(calls[[#This Row],[Date of Call]],"DDDD")</f>
        <v>Monday</v>
      </c>
    </row>
    <row r="713" spans="2:10" x14ac:dyDescent="0.25">
      <c r="B713" s="8" t="s">
        <v>735</v>
      </c>
      <c r="C713" s="2" t="s">
        <v>24</v>
      </c>
      <c r="D713" s="2">
        <v>131</v>
      </c>
      <c r="E713" s="3" t="s">
        <v>10</v>
      </c>
      <c r="F713" s="6">
        <v>45174</v>
      </c>
      <c r="G713" s="2">
        <v>75</v>
      </c>
      <c r="H713" s="9">
        <v>4.4000000000000004</v>
      </c>
      <c r="I713">
        <f>ROUND(calls[[#This Row],[Satisfaction Rating]],0)</f>
        <v>4</v>
      </c>
      <c r="J713" t="str">
        <f>TEXT(calls[[#This Row],[Date of Call]],"DDDD")</f>
        <v>Tuesday</v>
      </c>
    </row>
    <row r="714" spans="2:10" x14ac:dyDescent="0.25">
      <c r="B714" s="8" t="s">
        <v>736</v>
      </c>
      <c r="C714" s="2" t="s">
        <v>15</v>
      </c>
      <c r="D714" s="2">
        <v>52</v>
      </c>
      <c r="E714" s="3" t="s">
        <v>13</v>
      </c>
      <c r="F714" s="6">
        <v>45175</v>
      </c>
      <c r="G714" s="2">
        <v>88</v>
      </c>
      <c r="H714" s="9">
        <v>4.3</v>
      </c>
      <c r="I714">
        <f>ROUND(calls[[#This Row],[Satisfaction Rating]],0)</f>
        <v>4</v>
      </c>
      <c r="J714" t="str">
        <f>TEXT(calls[[#This Row],[Date of Call]],"DDDD")</f>
        <v>Wednesday</v>
      </c>
    </row>
    <row r="715" spans="2:10" x14ac:dyDescent="0.25">
      <c r="B715" s="8" t="s">
        <v>737</v>
      </c>
      <c r="C715" s="2" t="s">
        <v>12</v>
      </c>
      <c r="D715" s="2">
        <v>100</v>
      </c>
      <c r="E715" s="3" t="s">
        <v>10</v>
      </c>
      <c r="F715" s="6">
        <v>45175</v>
      </c>
      <c r="G715" s="2">
        <v>24</v>
      </c>
      <c r="H715" s="9">
        <v>4.7</v>
      </c>
      <c r="I715">
        <f>ROUND(calls[[#This Row],[Satisfaction Rating]],0)</f>
        <v>5</v>
      </c>
      <c r="J715" t="str">
        <f>TEXT(calls[[#This Row],[Date of Call]],"DDDD")</f>
        <v>Wednesday</v>
      </c>
    </row>
    <row r="716" spans="2:10" x14ac:dyDescent="0.25">
      <c r="B716" s="8" t="s">
        <v>738</v>
      </c>
      <c r="C716" s="2" t="s">
        <v>21</v>
      </c>
      <c r="D716" s="2">
        <v>58</v>
      </c>
      <c r="E716" s="3" t="s">
        <v>6</v>
      </c>
      <c r="F716" s="6">
        <v>45175</v>
      </c>
      <c r="G716" s="2">
        <v>96</v>
      </c>
      <c r="H716" s="9">
        <v>3.2</v>
      </c>
      <c r="I716">
        <f>ROUND(calls[[#This Row],[Satisfaction Rating]],0)</f>
        <v>3</v>
      </c>
      <c r="J716" t="str">
        <f>TEXT(calls[[#This Row],[Date of Call]],"DDDD")</f>
        <v>Wednesday</v>
      </c>
    </row>
    <row r="717" spans="2:10" x14ac:dyDescent="0.25">
      <c r="B717" s="8" t="s">
        <v>739</v>
      </c>
      <c r="C717" s="2" t="s">
        <v>8</v>
      </c>
      <c r="D717" s="2">
        <v>144</v>
      </c>
      <c r="E717" s="3" t="s">
        <v>6</v>
      </c>
      <c r="F717" s="6">
        <v>45176</v>
      </c>
      <c r="G717" s="2">
        <v>124</v>
      </c>
      <c r="H717" s="9">
        <v>2.2999999999999998</v>
      </c>
      <c r="I717">
        <f>ROUND(calls[[#This Row],[Satisfaction Rating]],0)</f>
        <v>2</v>
      </c>
      <c r="J717" t="str">
        <f>TEXT(calls[[#This Row],[Date of Call]],"DDDD")</f>
        <v>Thursday</v>
      </c>
    </row>
    <row r="718" spans="2:10" x14ac:dyDescent="0.25">
      <c r="B718" s="8" t="s">
        <v>740</v>
      </c>
      <c r="C718" s="2" t="s">
        <v>21</v>
      </c>
      <c r="D718" s="2">
        <v>53</v>
      </c>
      <c r="E718" s="3" t="s">
        <v>11</v>
      </c>
      <c r="F718" s="6">
        <v>45177</v>
      </c>
      <c r="G718" s="2">
        <v>130</v>
      </c>
      <c r="H718" s="9">
        <v>3.6</v>
      </c>
      <c r="I718">
        <f>ROUND(calls[[#This Row],[Satisfaction Rating]],0)</f>
        <v>4</v>
      </c>
      <c r="J718" t="str">
        <f>TEXT(calls[[#This Row],[Date of Call]],"DDDD")</f>
        <v>Friday</v>
      </c>
    </row>
    <row r="719" spans="2:10" x14ac:dyDescent="0.25">
      <c r="B719" s="8" t="s">
        <v>741</v>
      </c>
      <c r="C719" s="2" t="s">
        <v>16</v>
      </c>
      <c r="D719" s="2">
        <v>97</v>
      </c>
      <c r="E719" s="3" t="s">
        <v>9</v>
      </c>
      <c r="F719" s="6">
        <v>45177</v>
      </c>
      <c r="G719" s="2">
        <v>45</v>
      </c>
      <c r="H719" s="9">
        <v>4.5999999999999996</v>
      </c>
      <c r="I719">
        <f>ROUND(calls[[#This Row],[Satisfaction Rating]],0)</f>
        <v>5</v>
      </c>
      <c r="J719" t="str">
        <f>TEXT(calls[[#This Row],[Date of Call]],"DDDD")</f>
        <v>Friday</v>
      </c>
    </row>
    <row r="720" spans="2:10" x14ac:dyDescent="0.25">
      <c r="B720" s="8" t="s">
        <v>742</v>
      </c>
      <c r="C720" s="2" t="s">
        <v>23</v>
      </c>
      <c r="D720" s="2">
        <v>64</v>
      </c>
      <c r="E720" s="3" t="s">
        <v>6</v>
      </c>
      <c r="F720" s="6">
        <v>45177</v>
      </c>
      <c r="G720" s="2">
        <v>66</v>
      </c>
      <c r="H720" s="9">
        <v>4</v>
      </c>
      <c r="I720">
        <f>ROUND(calls[[#This Row],[Satisfaction Rating]],0)</f>
        <v>4</v>
      </c>
      <c r="J720" t="str">
        <f>TEXT(calls[[#This Row],[Date of Call]],"DDDD")</f>
        <v>Friday</v>
      </c>
    </row>
    <row r="721" spans="2:10" x14ac:dyDescent="0.25">
      <c r="B721" s="8" t="s">
        <v>743</v>
      </c>
      <c r="C721" s="2" t="s">
        <v>20</v>
      </c>
      <c r="D721" s="2">
        <v>106</v>
      </c>
      <c r="E721" s="3" t="s">
        <v>10</v>
      </c>
      <c r="F721" s="6">
        <v>45177</v>
      </c>
      <c r="G721" s="2">
        <v>58</v>
      </c>
      <c r="H721" s="9">
        <v>4.7</v>
      </c>
      <c r="I721">
        <f>ROUND(calls[[#This Row],[Satisfaction Rating]],0)</f>
        <v>5</v>
      </c>
      <c r="J721" t="str">
        <f>TEXT(calls[[#This Row],[Date of Call]],"DDDD")</f>
        <v>Friday</v>
      </c>
    </row>
    <row r="722" spans="2:10" x14ac:dyDescent="0.25">
      <c r="B722" s="8" t="s">
        <v>744</v>
      </c>
      <c r="C722" s="2" t="s">
        <v>17</v>
      </c>
      <c r="D722" s="2">
        <v>36</v>
      </c>
      <c r="E722" s="3" t="s">
        <v>6</v>
      </c>
      <c r="F722" s="6">
        <v>45178</v>
      </c>
      <c r="G722" s="2">
        <v>152</v>
      </c>
      <c r="H722" s="9">
        <v>4.3</v>
      </c>
      <c r="I722">
        <f>ROUND(calls[[#This Row],[Satisfaction Rating]],0)</f>
        <v>4</v>
      </c>
      <c r="J722" t="str">
        <f>TEXT(calls[[#This Row],[Date of Call]],"DDDD")</f>
        <v>Saturday</v>
      </c>
    </row>
    <row r="723" spans="2:10" x14ac:dyDescent="0.25">
      <c r="B723" s="8" t="s">
        <v>745</v>
      </c>
      <c r="C723" s="2" t="s">
        <v>8</v>
      </c>
      <c r="D723" s="2">
        <v>74</v>
      </c>
      <c r="E723" s="3" t="s">
        <v>13</v>
      </c>
      <c r="F723" s="6">
        <v>45178</v>
      </c>
      <c r="G723" s="2">
        <v>75</v>
      </c>
      <c r="H723" s="9">
        <v>2.8</v>
      </c>
      <c r="I723">
        <f>ROUND(calls[[#This Row],[Satisfaction Rating]],0)</f>
        <v>3</v>
      </c>
      <c r="J723" t="str">
        <f>TEXT(calls[[#This Row],[Date of Call]],"DDDD")</f>
        <v>Saturday</v>
      </c>
    </row>
    <row r="724" spans="2:10" x14ac:dyDescent="0.25">
      <c r="B724" s="8" t="s">
        <v>746</v>
      </c>
      <c r="C724" s="2" t="s">
        <v>7</v>
      </c>
      <c r="D724" s="2">
        <v>143</v>
      </c>
      <c r="E724" s="3" t="s">
        <v>9</v>
      </c>
      <c r="F724" s="6">
        <v>45178</v>
      </c>
      <c r="G724" s="2">
        <v>78</v>
      </c>
      <c r="H724" s="9">
        <v>4</v>
      </c>
      <c r="I724">
        <f>ROUND(calls[[#This Row],[Satisfaction Rating]],0)</f>
        <v>4</v>
      </c>
      <c r="J724" t="str">
        <f>TEXT(calls[[#This Row],[Date of Call]],"DDDD")</f>
        <v>Saturday</v>
      </c>
    </row>
    <row r="725" spans="2:10" x14ac:dyDescent="0.25">
      <c r="B725" s="8" t="s">
        <v>747</v>
      </c>
      <c r="C725" s="2" t="s">
        <v>20</v>
      </c>
      <c r="D725" s="2">
        <v>94</v>
      </c>
      <c r="E725" s="3" t="s">
        <v>11</v>
      </c>
      <c r="F725" s="6">
        <v>45178</v>
      </c>
      <c r="G725" s="2">
        <v>69</v>
      </c>
      <c r="H725" s="9">
        <v>3.9</v>
      </c>
      <c r="I725">
        <f>ROUND(calls[[#This Row],[Satisfaction Rating]],0)</f>
        <v>4</v>
      </c>
      <c r="J725" t="str">
        <f>TEXT(calls[[#This Row],[Date of Call]],"DDDD")</f>
        <v>Saturday</v>
      </c>
    </row>
    <row r="726" spans="2:10" x14ac:dyDescent="0.25">
      <c r="B726" s="8" t="s">
        <v>748</v>
      </c>
      <c r="C726" s="2" t="s">
        <v>19</v>
      </c>
      <c r="D726" s="2">
        <v>124</v>
      </c>
      <c r="E726" s="3" t="s">
        <v>10</v>
      </c>
      <c r="F726" s="6">
        <v>45179</v>
      </c>
      <c r="G726" s="2">
        <v>46</v>
      </c>
      <c r="H726" s="9">
        <v>3.1</v>
      </c>
      <c r="I726">
        <f>ROUND(calls[[#This Row],[Satisfaction Rating]],0)</f>
        <v>3</v>
      </c>
      <c r="J726" t="str">
        <f>TEXT(calls[[#This Row],[Date of Call]],"DDDD")</f>
        <v>Sunday</v>
      </c>
    </row>
    <row r="727" spans="2:10" x14ac:dyDescent="0.25">
      <c r="B727" s="8" t="s">
        <v>749</v>
      </c>
      <c r="C727" s="2" t="s">
        <v>17</v>
      </c>
      <c r="D727" s="2">
        <v>156</v>
      </c>
      <c r="E727" s="3" t="s">
        <v>6</v>
      </c>
      <c r="F727" s="6">
        <v>45179</v>
      </c>
      <c r="G727" s="2">
        <v>64</v>
      </c>
      <c r="H727" s="9">
        <v>2.7</v>
      </c>
      <c r="I727">
        <f>ROUND(calls[[#This Row],[Satisfaction Rating]],0)</f>
        <v>3</v>
      </c>
      <c r="J727" t="str">
        <f>TEXT(calls[[#This Row],[Date of Call]],"DDDD")</f>
        <v>Sunday</v>
      </c>
    </row>
    <row r="728" spans="2:10" x14ac:dyDescent="0.25">
      <c r="B728" s="8" t="s">
        <v>750</v>
      </c>
      <c r="C728" s="2" t="s">
        <v>18</v>
      </c>
      <c r="D728" s="2">
        <v>107</v>
      </c>
      <c r="E728" s="3" t="s">
        <v>9</v>
      </c>
      <c r="F728" s="6">
        <v>45179</v>
      </c>
      <c r="G728" s="2">
        <v>38</v>
      </c>
      <c r="H728" s="9">
        <v>4.7</v>
      </c>
      <c r="I728">
        <f>ROUND(calls[[#This Row],[Satisfaction Rating]],0)</f>
        <v>5</v>
      </c>
      <c r="J728" t="str">
        <f>TEXT(calls[[#This Row],[Date of Call]],"DDDD")</f>
        <v>Sunday</v>
      </c>
    </row>
    <row r="729" spans="2:10" x14ac:dyDescent="0.25">
      <c r="B729" s="8" t="s">
        <v>751</v>
      </c>
      <c r="C729" s="2" t="s">
        <v>20</v>
      </c>
      <c r="D729" s="2">
        <v>58</v>
      </c>
      <c r="E729" s="3" t="s">
        <v>9</v>
      </c>
      <c r="F729" s="6">
        <v>45181</v>
      </c>
      <c r="G729" s="2">
        <v>90</v>
      </c>
      <c r="H729" s="9">
        <v>4.3</v>
      </c>
      <c r="I729">
        <f>ROUND(calls[[#This Row],[Satisfaction Rating]],0)</f>
        <v>4</v>
      </c>
      <c r="J729" t="str">
        <f>TEXT(calls[[#This Row],[Date of Call]],"DDDD")</f>
        <v>Tuesday</v>
      </c>
    </row>
    <row r="730" spans="2:10" x14ac:dyDescent="0.25">
      <c r="B730" s="8" t="s">
        <v>752</v>
      </c>
      <c r="C730" s="2" t="s">
        <v>14</v>
      </c>
      <c r="D730" s="2">
        <v>66</v>
      </c>
      <c r="E730" s="3" t="s">
        <v>9</v>
      </c>
      <c r="F730" s="6">
        <v>45181</v>
      </c>
      <c r="G730" s="2">
        <v>32</v>
      </c>
      <c r="H730" s="9">
        <v>3.8</v>
      </c>
      <c r="I730">
        <f>ROUND(calls[[#This Row],[Satisfaction Rating]],0)</f>
        <v>4</v>
      </c>
      <c r="J730" t="str">
        <f>TEXT(calls[[#This Row],[Date of Call]],"DDDD")</f>
        <v>Tuesday</v>
      </c>
    </row>
    <row r="731" spans="2:10" x14ac:dyDescent="0.25">
      <c r="B731" s="8" t="s">
        <v>753</v>
      </c>
      <c r="C731" s="2" t="s">
        <v>24</v>
      </c>
      <c r="D731" s="2">
        <v>75</v>
      </c>
      <c r="E731" s="3" t="s">
        <v>6</v>
      </c>
      <c r="F731" s="6">
        <v>45181</v>
      </c>
      <c r="G731" s="2">
        <v>120</v>
      </c>
      <c r="H731" s="9">
        <v>4.4000000000000004</v>
      </c>
      <c r="I731">
        <f>ROUND(calls[[#This Row],[Satisfaction Rating]],0)</f>
        <v>4</v>
      </c>
      <c r="J731" t="str">
        <f>TEXT(calls[[#This Row],[Date of Call]],"DDDD")</f>
        <v>Tuesday</v>
      </c>
    </row>
    <row r="732" spans="2:10" x14ac:dyDescent="0.25">
      <c r="B732" s="8" t="s">
        <v>754</v>
      </c>
      <c r="C732" s="2" t="s">
        <v>18</v>
      </c>
      <c r="D732" s="2">
        <v>8</v>
      </c>
      <c r="E732" s="3" t="s">
        <v>9</v>
      </c>
      <c r="F732" s="6">
        <v>45181</v>
      </c>
      <c r="G732" s="2">
        <v>31</v>
      </c>
      <c r="H732" s="9">
        <v>3.9</v>
      </c>
      <c r="I732">
        <f>ROUND(calls[[#This Row],[Satisfaction Rating]],0)</f>
        <v>4</v>
      </c>
      <c r="J732" t="str">
        <f>TEXT(calls[[#This Row],[Date of Call]],"DDDD")</f>
        <v>Tuesday</v>
      </c>
    </row>
    <row r="733" spans="2:10" x14ac:dyDescent="0.25">
      <c r="B733" s="8" t="s">
        <v>755</v>
      </c>
      <c r="C733" s="2" t="s">
        <v>23</v>
      </c>
      <c r="D733" s="2">
        <v>76</v>
      </c>
      <c r="E733" s="3" t="s">
        <v>6</v>
      </c>
      <c r="F733" s="6">
        <v>45182</v>
      </c>
      <c r="G733" s="2">
        <v>108</v>
      </c>
      <c r="H733" s="9">
        <v>4.9000000000000004</v>
      </c>
      <c r="I733">
        <f>ROUND(calls[[#This Row],[Satisfaction Rating]],0)</f>
        <v>5</v>
      </c>
      <c r="J733" t="str">
        <f>TEXT(calls[[#This Row],[Date of Call]],"DDDD")</f>
        <v>Wednesday</v>
      </c>
    </row>
    <row r="734" spans="2:10" x14ac:dyDescent="0.25">
      <c r="B734" s="8" t="s">
        <v>756</v>
      </c>
      <c r="C734" s="2" t="s">
        <v>20</v>
      </c>
      <c r="D734" s="2">
        <v>110</v>
      </c>
      <c r="E734" s="3" t="s">
        <v>6</v>
      </c>
      <c r="F734" s="6">
        <v>45182</v>
      </c>
      <c r="G734" s="2">
        <v>180</v>
      </c>
      <c r="H734" s="9">
        <v>4.2</v>
      </c>
      <c r="I734">
        <f>ROUND(calls[[#This Row],[Satisfaction Rating]],0)</f>
        <v>4</v>
      </c>
      <c r="J734" t="str">
        <f>TEXT(calls[[#This Row],[Date of Call]],"DDDD")</f>
        <v>Wednesday</v>
      </c>
    </row>
    <row r="735" spans="2:10" x14ac:dyDescent="0.25">
      <c r="B735" s="8" t="s">
        <v>757</v>
      </c>
      <c r="C735" s="2" t="s">
        <v>14</v>
      </c>
      <c r="D735" s="2">
        <v>50</v>
      </c>
      <c r="E735" s="3" t="s">
        <v>11</v>
      </c>
      <c r="F735" s="6">
        <v>45183</v>
      </c>
      <c r="G735" s="2">
        <v>124</v>
      </c>
      <c r="H735" s="9">
        <v>4</v>
      </c>
      <c r="I735">
        <f>ROUND(calls[[#This Row],[Satisfaction Rating]],0)</f>
        <v>4</v>
      </c>
      <c r="J735" t="str">
        <f>TEXT(calls[[#This Row],[Date of Call]],"DDDD")</f>
        <v>Thursday</v>
      </c>
    </row>
    <row r="736" spans="2:10" x14ac:dyDescent="0.25">
      <c r="B736" s="8" t="s">
        <v>758</v>
      </c>
      <c r="C736" s="2" t="s">
        <v>15</v>
      </c>
      <c r="D736" s="2">
        <v>78</v>
      </c>
      <c r="E736" s="3" t="s">
        <v>11</v>
      </c>
      <c r="F736" s="6">
        <v>45183</v>
      </c>
      <c r="G736" s="2">
        <v>23</v>
      </c>
      <c r="H736" s="9">
        <v>4.2</v>
      </c>
      <c r="I736">
        <f>ROUND(calls[[#This Row],[Satisfaction Rating]],0)</f>
        <v>4</v>
      </c>
      <c r="J736" t="str">
        <f>TEXT(calls[[#This Row],[Date of Call]],"DDDD")</f>
        <v>Thursday</v>
      </c>
    </row>
    <row r="737" spans="2:10" x14ac:dyDescent="0.25">
      <c r="B737" s="8" t="s">
        <v>759</v>
      </c>
      <c r="C737" s="2" t="s">
        <v>16</v>
      </c>
      <c r="D737" s="2">
        <v>59</v>
      </c>
      <c r="E737" s="3" t="s">
        <v>10</v>
      </c>
      <c r="F737" s="6">
        <v>45184</v>
      </c>
      <c r="G737" s="2">
        <v>24</v>
      </c>
      <c r="H737" s="9">
        <v>4.8</v>
      </c>
      <c r="I737">
        <f>ROUND(calls[[#This Row],[Satisfaction Rating]],0)</f>
        <v>5</v>
      </c>
      <c r="J737" t="str">
        <f>TEXT(calls[[#This Row],[Date of Call]],"DDDD")</f>
        <v>Friday</v>
      </c>
    </row>
    <row r="738" spans="2:10" x14ac:dyDescent="0.25">
      <c r="B738" s="8" t="s">
        <v>760</v>
      </c>
      <c r="C738" s="2" t="s">
        <v>15</v>
      </c>
      <c r="D738" s="2">
        <v>126</v>
      </c>
      <c r="E738" s="3" t="s">
        <v>9</v>
      </c>
      <c r="F738" s="6">
        <v>45185</v>
      </c>
      <c r="G738" s="2">
        <v>52</v>
      </c>
      <c r="H738" s="9">
        <v>1.1000000000000001</v>
      </c>
      <c r="I738">
        <f>ROUND(calls[[#This Row],[Satisfaction Rating]],0)</f>
        <v>1</v>
      </c>
      <c r="J738" t="str">
        <f>TEXT(calls[[#This Row],[Date of Call]],"DDDD")</f>
        <v>Saturday</v>
      </c>
    </row>
    <row r="739" spans="2:10" x14ac:dyDescent="0.25">
      <c r="B739" s="8" t="s">
        <v>761</v>
      </c>
      <c r="C739" s="2" t="s">
        <v>23</v>
      </c>
      <c r="D739" s="2">
        <v>43</v>
      </c>
      <c r="E739" s="3" t="s">
        <v>10</v>
      </c>
      <c r="F739" s="6">
        <v>45186</v>
      </c>
      <c r="G739" s="2">
        <v>168</v>
      </c>
      <c r="H739" s="9">
        <v>4</v>
      </c>
      <c r="I739">
        <f>ROUND(calls[[#This Row],[Satisfaction Rating]],0)</f>
        <v>4</v>
      </c>
      <c r="J739" t="str">
        <f>TEXT(calls[[#This Row],[Date of Call]],"DDDD")</f>
        <v>Sunday</v>
      </c>
    </row>
    <row r="740" spans="2:10" x14ac:dyDescent="0.25">
      <c r="B740" s="8" t="s">
        <v>762</v>
      </c>
      <c r="C740" s="2" t="s">
        <v>17</v>
      </c>
      <c r="D740" s="2">
        <v>79</v>
      </c>
      <c r="E740" s="3" t="s">
        <v>6</v>
      </c>
      <c r="F740" s="6">
        <v>45188</v>
      </c>
      <c r="G740" s="2">
        <v>125</v>
      </c>
      <c r="H740" s="9">
        <v>4.8</v>
      </c>
      <c r="I740">
        <f>ROUND(calls[[#This Row],[Satisfaction Rating]],0)</f>
        <v>5</v>
      </c>
      <c r="J740" t="str">
        <f>TEXT(calls[[#This Row],[Date of Call]],"DDDD")</f>
        <v>Tuesday</v>
      </c>
    </row>
    <row r="741" spans="2:10" x14ac:dyDescent="0.25">
      <c r="B741" s="8" t="s">
        <v>763</v>
      </c>
      <c r="C741" s="2" t="s">
        <v>20</v>
      </c>
      <c r="D741" s="2">
        <v>71</v>
      </c>
      <c r="E741" s="3" t="s">
        <v>10</v>
      </c>
      <c r="F741" s="6">
        <v>45189</v>
      </c>
      <c r="G741" s="2">
        <v>50</v>
      </c>
      <c r="H741" s="9">
        <v>4.2</v>
      </c>
      <c r="I741">
        <f>ROUND(calls[[#This Row],[Satisfaction Rating]],0)</f>
        <v>4</v>
      </c>
      <c r="J741" t="str">
        <f>TEXT(calls[[#This Row],[Date of Call]],"DDDD")</f>
        <v>Wednesday</v>
      </c>
    </row>
    <row r="742" spans="2:10" x14ac:dyDescent="0.25">
      <c r="B742" s="8" t="s">
        <v>764</v>
      </c>
      <c r="C742" s="2" t="s">
        <v>22</v>
      </c>
      <c r="D742" s="2">
        <v>94</v>
      </c>
      <c r="E742" s="3" t="s">
        <v>9</v>
      </c>
      <c r="F742" s="6">
        <v>45190</v>
      </c>
      <c r="G742" s="2">
        <v>220</v>
      </c>
      <c r="H742" s="9">
        <v>4.5999999999999996</v>
      </c>
      <c r="I742">
        <f>ROUND(calls[[#This Row],[Satisfaction Rating]],0)</f>
        <v>5</v>
      </c>
      <c r="J742" t="str">
        <f>TEXT(calls[[#This Row],[Date of Call]],"DDDD")</f>
        <v>Thursday</v>
      </c>
    </row>
    <row r="743" spans="2:10" x14ac:dyDescent="0.25">
      <c r="B743" s="8" t="s">
        <v>765</v>
      </c>
      <c r="C743" s="2" t="s">
        <v>18</v>
      </c>
      <c r="D743" s="2">
        <v>108</v>
      </c>
      <c r="E743" s="3" t="s">
        <v>10</v>
      </c>
      <c r="F743" s="6">
        <v>45190</v>
      </c>
      <c r="G743" s="2">
        <v>180</v>
      </c>
      <c r="H743" s="9">
        <v>4</v>
      </c>
      <c r="I743">
        <f>ROUND(calls[[#This Row],[Satisfaction Rating]],0)</f>
        <v>4</v>
      </c>
      <c r="J743" t="str">
        <f>TEXT(calls[[#This Row],[Date of Call]],"DDDD")</f>
        <v>Thursday</v>
      </c>
    </row>
    <row r="744" spans="2:10" x14ac:dyDescent="0.25">
      <c r="B744" s="8" t="s">
        <v>766</v>
      </c>
      <c r="C744" s="2" t="s">
        <v>23</v>
      </c>
      <c r="D744" s="2">
        <v>76</v>
      </c>
      <c r="E744" s="3" t="s">
        <v>9</v>
      </c>
      <c r="F744" s="6">
        <v>45190</v>
      </c>
      <c r="G744" s="2">
        <v>110</v>
      </c>
      <c r="H744" s="9">
        <v>3.9</v>
      </c>
      <c r="I744">
        <f>ROUND(calls[[#This Row],[Satisfaction Rating]],0)</f>
        <v>4</v>
      </c>
      <c r="J744" t="str">
        <f>TEXT(calls[[#This Row],[Date of Call]],"DDDD")</f>
        <v>Thursday</v>
      </c>
    </row>
    <row r="745" spans="2:10" x14ac:dyDescent="0.25">
      <c r="B745" s="8" t="s">
        <v>767</v>
      </c>
      <c r="C745" s="2" t="s">
        <v>16</v>
      </c>
      <c r="D745" s="2">
        <v>136</v>
      </c>
      <c r="E745" s="3" t="s">
        <v>10</v>
      </c>
      <c r="F745" s="6">
        <v>45190</v>
      </c>
      <c r="G745" s="2">
        <v>36</v>
      </c>
      <c r="H745" s="9">
        <v>2.8</v>
      </c>
      <c r="I745">
        <f>ROUND(calls[[#This Row],[Satisfaction Rating]],0)</f>
        <v>3</v>
      </c>
      <c r="J745" t="str">
        <f>TEXT(calls[[#This Row],[Date of Call]],"DDDD")</f>
        <v>Thursday</v>
      </c>
    </row>
    <row r="746" spans="2:10" x14ac:dyDescent="0.25">
      <c r="B746" s="8" t="s">
        <v>768</v>
      </c>
      <c r="C746" s="2" t="s">
        <v>12</v>
      </c>
      <c r="D746" s="2">
        <v>129</v>
      </c>
      <c r="E746" s="3" t="s">
        <v>11</v>
      </c>
      <c r="F746" s="6">
        <v>45191</v>
      </c>
      <c r="G746" s="2">
        <v>93</v>
      </c>
      <c r="H746" s="9">
        <v>4.7</v>
      </c>
      <c r="I746">
        <f>ROUND(calls[[#This Row],[Satisfaction Rating]],0)</f>
        <v>5</v>
      </c>
      <c r="J746" t="str">
        <f>TEXT(calls[[#This Row],[Date of Call]],"DDDD")</f>
        <v>Friday</v>
      </c>
    </row>
    <row r="747" spans="2:10" x14ac:dyDescent="0.25">
      <c r="B747" s="8" t="s">
        <v>769</v>
      </c>
      <c r="C747" s="2" t="s">
        <v>18</v>
      </c>
      <c r="D747" s="2">
        <v>120</v>
      </c>
      <c r="E747" s="3" t="s">
        <v>10</v>
      </c>
      <c r="F747" s="6">
        <v>45191</v>
      </c>
      <c r="G747" s="2">
        <v>38</v>
      </c>
      <c r="H747" s="9">
        <v>4.2</v>
      </c>
      <c r="I747">
        <f>ROUND(calls[[#This Row],[Satisfaction Rating]],0)</f>
        <v>4</v>
      </c>
      <c r="J747" t="str">
        <f>TEXT(calls[[#This Row],[Date of Call]],"DDDD")</f>
        <v>Friday</v>
      </c>
    </row>
    <row r="748" spans="2:10" x14ac:dyDescent="0.25">
      <c r="B748" s="8" t="s">
        <v>770</v>
      </c>
      <c r="C748" s="2" t="s">
        <v>23</v>
      </c>
      <c r="D748" s="2">
        <v>108</v>
      </c>
      <c r="E748" s="3" t="s">
        <v>11</v>
      </c>
      <c r="F748" s="6">
        <v>45192</v>
      </c>
      <c r="G748" s="2">
        <v>66</v>
      </c>
      <c r="H748" s="9">
        <v>3.9</v>
      </c>
      <c r="I748">
        <f>ROUND(calls[[#This Row],[Satisfaction Rating]],0)</f>
        <v>4</v>
      </c>
      <c r="J748" t="str">
        <f>TEXT(calls[[#This Row],[Date of Call]],"DDDD")</f>
        <v>Saturday</v>
      </c>
    </row>
    <row r="749" spans="2:10" x14ac:dyDescent="0.25">
      <c r="B749" s="8" t="s">
        <v>771</v>
      </c>
      <c r="C749" s="2" t="s">
        <v>15</v>
      </c>
      <c r="D749" s="2">
        <v>79</v>
      </c>
      <c r="E749" s="3" t="s">
        <v>10</v>
      </c>
      <c r="F749" s="6">
        <v>45192</v>
      </c>
      <c r="G749" s="2">
        <v>215</v>
      </c>
      <c r="H749" s="9">
        <v>4.5999999999999996</v>
      </c>
      <c r="I749">
        <f>ROUND(calls[[#This Row],[Satisfaction Rating]],0)</f>
        <v>5</v>
      </c>
      <c r="J749" t="str">
        <f>TEXT(calls[[#This Row],[Date of Call]],"DDDD")</f>
        <v>Saturday</v>
      </c>
    </row>
    <row r="750" spans="2:10" x14ac:dyDescent="0.25">
      <c r="B750" s="8" t="s">
        <v>772</v>
      </c>
      <c r="C750" s="2" t="s">
        <v>15</v>
      </c>
      <c r="D750" s="2">
        <v>45</v>
      </c>
      <c r="E750" s="3" t="s">
        <v>11</v>
      </c>
      <c r="F750" s="6">
        <v>45192</v>
      </c>
      <c r="G750" s="2">
        <v>92</v>
      </c>
      <c r="H750" s="9">
        <v>4.3</v>
      </c>
      <c r="I750">
        <f>ROUND(calls[[#This Row],[Satisfaction Rating]],0)</f>
        <v>4</v>
      </c>
      <c r="J750" t="str">
        <f>TEXT(calls[[#This Row],[Date of Call]],"DDDD")</f>
        <v>Saturday</v>
      </c>
    </row>
    <row r="751" spans="2:10" x14ac:dyDescent="0.25">
      <c r="B751" s="8" t="s">
        <v>773</v>
      </c>
      <c r="C751" s="2" t="s">
        <v>8</v>
      </c>
      <c r="D751" s="2">
        <v>96</v>
      </c>
      <c r="E751" s="3" t="s">
        <v>10</v>
      </c>
      <c r="F751" s="6">
        <v>45192</v>
      </c>
      <c r="G751" s="2">
        <v>80</v>
      </c>
      <c r="H751" s="9">
        <v>3.6</v>
      </c>
      <c r="I751">
        <f>ROUND(calls[[#This Row],[Satisfaction Rating]],0)</f>
        <v>4</v>
      </c>
      <c r="J751" t="str">
        <f>TEXT(calls[[#This Row],[Date of Call]],"DDDD")</f>
        <v>Saturday</v>
      </c>
    </row>
    <row r="752" spans="2:10" x14ac:dyDescent="0.25">
      <c r="B752" s="8" t="s">
        <v>774</v>
      </c>
      <c r="C752" s="2" t="s">
        <v>8</v>
      </c>
      <c r="D752" s="2">
        <v>81</v>
      </c>
      <c r="E752" s="3" t="s">
        <v>10</v>
      </c>
      <c r="F752" s="6">
        <v>45193</v>
      </c>
      <c r="G752" s="2">
        <v>123</v>
      </c>
      <c r="H752" s="9">
        <v>4.9000000000000004</v>
      </c>
      <c r="I752">
        <f>ROUND(calls[[#This Row],[Satisfaction Rating]],0)</f>
        <v>5</v>
      </c>
      <c r="J752" t="str">
        <f>TEXT(calls[[#This Row],[Date of Call]],"DDDD")</f>
        <v>Sunday</v>
      </c>
    </row>
    <row r="753" spans="2:10" x14ac:dyDescent="0.25">
      <c r="B753" s="8" t="s">
        <v>775</v>
      </c>
      <c r="C753" s="2" t="s">
        <v>16</v>
      </c>
      <c r="D753" s="2">
        <v>95</v>
      </c>
      <c r="E753" s="3" t="s">
        <v>13</v>
      </c>
      <c r="F753" s="6">
        <v>45193</v>
      </c>
      <c r="G753" s="2">
        <v>23</v>
      </c>
      <c r="H753" s="9">
        <v>2.4</v>
      </c>
      <c r="I753">
        <f>ROUND(calls[[#This Row],[Satisfaction Rating]],0)</f>
        <v>2</v>
      </c>
      <c r="J753" t="str">
        <f>TEXT(calls[[#This Row],[Date of Call]],"DDDD")</f>
        <v>Sunday</v>
      </c>
    </row>
    <row r="754" spans="2:10" x14ac:dyDescent="0.25">
      <c r="B754" s="8" t="s">
        <v>776</v>
      </c>
      <c r="C754" s="2" t="s">
        <v>19</v>
      </c>
      <c r="D754" s="2">
        <v>159</v>
      </c>
      <c r="E754" s="3" t="s">
        <v>9</v>
      </c>
      <c r="F754" s="6">
        <v>45193</v>
      </c>
      <c r="G754" s="2">
        <v>63</v>
      </c>
      <c r="H754" s="9">
        <v>4.2</v>
      </c>
      <c r="I754">
        <f>ROUND(calls[[#This Row],[Satisfaction Rating]],0)</f>
        <v>4</v>
      </c>
      <c r="J754" t="str">
        <f>TEXT(calls[[#This Row],[Date of Call]],"DDDD")</f>
        <v>Sunday</v>
      </c>
    </row>
    <row r="755" spans="2:10" x14ac:dyDescent="0.25">
      <c r="B755" s="8" t="s">
        <v>777</v>
      </c>
      <c r="C755" s="2" t="s">
        <v>5</v>
      </c>
      <c r="D755" s="2">
        <v>109</v>
      </c>
      <c r="E755" s="3" t="s">
        <v>6</v>
      </c>
      <c r="F755" s="6">
        <v>45193</v>
      </c>
      <c r="G755" s="2">
        <v>52</v>
      </c>
      <c r="H755" s="9">
        <v>3.9</v>
      </c>
      <c r="I755">
        <f>ROUND(calls[[#This Row],[Satisfaction Rating]],0)</f>
        <v>4</v>
      </c>
      <c r="J755" t="str">
        <f>TEXT(calls[[#This Row],[Date of Call]],"DDDD")</f>
        <v>Sunday</v>
      </c>
    </row>
    <row r="756" spans="2:10" x14ac:dyDescent="0.25">
      <c r="B756" s="8" t="s">
        <v>778</v>
      </c>
      <c r="C756" s="2" t="s">
        <v>15</v>
      </c>
      <c r="D756" s="2">
        <v>107</v>
      </c>
      <c r="E756" s="3" t="s">
        <v>6</v>
      </c>
      <c r="F756" s="6">
        <v>45193</v>
      </c>
      <c r="G756" s="2">
        <v>60</v>
      </c>
      <c r="H756" s="9">
        <v>4.2</v>
      </c>
      <c r="I756">
        <f>ROUND(calls[[#This Row],[Satisfaction Rating]],0)</f>
        <v>4</v>
      </c>
      <c r="J756" t="str">
        <f>TEXT(calls[[#This Row],[Date of Call]],"DDDD")</f>
        <v>Sunday</v>
      </c>
    </row>
    <row r="757" spans="2:10" x14ac:dyDescent="0.25">
      <c r="B757" s="8" t="s">
        <v>779</v>
      </c>
      <c r="C757" s="2" t="s">
        <v>8</v>
      </c>
      <c r="D757" s="2">
        <v>67</v>
      </c>
      <c r="E757" s="3" t="s">
        <v>11</v>
      </c>
      <c r="F757" s="6">
        <v>45194</v>
      </c>
      <c r="G757" s="2">
        <v>87</v>
      </c>
      <c r="H757" s="9">
        <v>3.9</v>
      </c>
      <c r="I757">
        <f>ROUND(calls[[#This Row],[Satisfaction Rating]],0)</f>
        <v>4</v>
      </c>
      <c r="J757" t="str">
        <f>TEXT(calls[[#This Row],[Date of Call]],"DDDD")</f>
        <v>Monday</v>
      </c>
    </row>
    <row r="758" spans="2:10" x14ac:dyDescent="0.25">
      <c r="B758" s="8" t="s">
        <v>780</v>
      </c>
      <c r="C758" s="2" t="s">
        <v>24</v>
      </c>
      <c r="D758" s="2">
        <v>96</v>
      </c>
      <c r="E758" s="3" t="s">
        <v>10</v>
      </c>
      <c r="F758" s="6">
        <v>45195</v>
      </c>
      <c r="G758" s="2">
        <v>42</v>
      </c>
      <c r="H758" s="9">
        <v>4.5</v>
      </c>
      <c r="I758">
        <f>ROUND(calls[[#This Row],[Satisfaction Rating]],0)</f>
        <v>5</v>
      </c>
      <c r="J758" t="str">
        <f>TEXT(calls[[#This Row],[Date of Call]],"DDDD")</f>
        <v>Tuesday</v>
      </c>
    </row>
    <row r="759" spans="2:10" x14ac:dyDescent="0.25">
      <c r="B759" s="8" t="s">
        <v>781</v>
      </c>
      <c r="C759" s="2" t="s">
        <v>7</v>
      </c>
      <c r="D759" s="2">
        <v>142</v>
      </c>
      <c r="E759" s="3" t="s">
        <v>9</v>
      </c>
      <c r="F759" s="6">
        <v>45196</v>
      </c>
      <c r="G759" s="2">
        <v>37</v>
      </c>
      <c r="H759" s="9">
        <v>3.8</v>
      </c>
      <c r="I759">
        <f>ROUND(calls[[#This Row],[Satisfaction Rating]],0)</f>
        <v>4</v>
      </c>
      <c r="J759" t="str">
        <f>TEXT(calls[[#This Row],[Date of Call]],"DDDD")</f>
        <v>Wednesday</v>
      </c>
    </row>
    <row r="760" spans="2:10" x14ac:dyDescent="0.25">
      <c r="B760" s="8" t="s">
        <v>782</v>
      </c>
      <c r="C760" s="2" t="s">
        <v>7</v>
      </c>
      <c r="D760" s="2">
        <v>71</v>
      </c>
      <c r="E760" s="3" t="s">
        <v>13</v>
      </c>
      <c r="F760" s="6">
        <v>45196</v>
      </c>
      <c r="G760" s="2">
        <v>135</v>
      </c>
      <c r="H760" s="9">
        <v>3.9</v>
      </c>
      <c r="I760">
        <f>ROUND(calls[[#This Row],[Satisfaction Rating]],0)</f>
        <v>4</v>
      </c>
      <c r="J760" t="str">
        <f>TEXT(calls[[#This Row],[Date of Call]],"DDDD")</f>
        <v>Wednesday</v>
      </c>
    </row>
    <row r="761" spans="2:10" x14ac:dyDescent="0.25">
      <c r="B761" s="8" t="s">
        <v>783</v>
      </c>
      <c r="C761" s="2" t="s">
        <v>24</v>
      </c>
      <c r="D761" s="2">
        <v>152</v>
      </c>
      <c r="E761" s="3" t="s">
        <v>13</v>
      </c>
      <c r="F761" s="6">
        <v>45196</v>
      </c>
      <c r="G761" s="2">
        <v>88</v>
      </c>
      <c r="H761" s="9">
        <v>4.7</v>
      </c>
      <c r="I761">
        <f>ROUND(calls[[#This Row],[Satisfaction Rating]],0)</f>
        <v>5</v>
      </c>
      <c r="J761" t="str">
        <f>TEXT(calls[[#This Row],[Date of Call]],"DDDD")</f>
        <v>Wednesday</v>
      </c>
    </row>
    <row r="762" spans="2:10" x14ac:dyDescent="0.25">
      <c r="B762" s="8" t="s">
        <v>784</v>
      </c>
      <c r="C762" s="2" t="s">
        <v>17</v>
      </c>
      <c r="D762" s="2">
        <v>108</v>
      </c>
      <c r="E762" s="3" t="s">
        <v>9</v>
      </c>
      <c r="F762" s="6">
        <v>45196</v>
      </c>
      <c r="G762" s="2">
        <v>190</v>
      </c>
      <c r="H762" s="9">
        <v>3.2</v>
      </c>
      <c r="I762">
        <f>ROUND(calls[[#This Row],[Satisfaction Rating]],0)</f>
        <v>3</v>
      </c>
      <c r="J762" t="str">
        <f>TEXT(calls[[#This Row],[Date of Call]],"DDDD")</f>
        <v>Wednesday</v>
      </c>
    </row>
    <row r="763" spans="2:10" x14ac:dyDescent="0.25">
      <c r="B763" s="8" t="s">
        <v>785</v>
      </c>
      <c r="C763" s="2" t="s">
        <v>17</v>
      </c>
      <c r="D763" s="2">
        <v>156</v>
      </c>
      <c r="E763" s="3" t="s">
        <v>13</v>
      </c>
      <c r="F763" s="6">
        <v>45196</v>
      </c>
      <c r="G763" s="2">
        <v>81</v>
      </c>
      <c r="H763" s="9">
        <v>5</v>
      </c>
      <c r="I763">
        <f>ROUND(calls[[#This Row],[Satisfaction Rating]],0)</f>
        <v>5</v>
      </c>
      <c r="J763" t="str">
        <f>TEXT(calls[[#This Row],[Date of Call]],"DDDD")</f>
        <v>Wednesday</v>
      </c>
    </row>
    <row r="764" spans="2:10" x14ac:dyDescent="0.25">
      <c r="B764" s="8" t="s">
        <v>786</v>
      </c>
      <c r="C764" s="2" t="s">
        <v>7</v>
      </c>
      <c r="D764" s="2">
        <v>126</v>
      </c>
      <c r="E764" s="3" t="s">
        <v>9</v>
      </c>
      <c r="F764" s="6">
        <v>45196</v>
      </c>
      <c r="G764" s="2">
        <v>44</v>
      </c>
      <c r="H764" s="9">
        <v>3.7</v>
      </c>
      <c r="I764">
        <f>ROUND(calls[[#This Row],[Satisfaction Rating]],0)</f>
        <v>4</v>
      </c>
      <c r="J764" t="str">
        <f>TEXT(calls[[#This Row],[Date of Call]],"DDDD")</f>
        <v>Wednesday</v>
      </c>
    </row>
    <row r="765" spans="2:10" x14ac:dyDescent="0.25">
      <c r="B765" s="8" t="s">
        <v>787</v>
      </c>
      <c r="C765" s="2" t="s">
        <v>23</v>
      </c>
      <c r="D765" s="2">
        <v>135</v>
      </c>
      <c r="E765" s="3" t="s">
        <v>13</v>
      </c>
      <c r="F765" s="6">
        <v>45197</v>
      </c>
      <c r="G765" s="2">
        <v>92</v>
      </c>
      <c r="H765" s="9">
        <v>3.9</v>
      </c>
      <c r="I765">
        <f>ROUND(calls[[#This Row],[Satisfaction Rating]],0)</f>
        <v>4</v>
      </c>
      <c r="J765" t="str">
        <f>TEXT(calls[[#This Row],[Date of Call]],"DDDD")</f>
        <v>Thursday</v>
      </c>
    </row>
    <row r="766" spans="2:10" x14ac:dyDescent="0.25">
      <c r="B766" s="8" t="s">
        <v>788</v>
      </c>
      <c r="C766" s="2" t="s">
        <v>7</v>
      </c>
      <c r="D766" s="2">
        <v>110</v>
      </c>
      <c r="E766" s="3" t="s">
        <v>10</v>
      </c>
      <c r="F766" s="6">
        <v>45198</v>
      </c>
      <c r="G766" s="2">
        <v>90</v>
      </c>
      <c r="H766" s="9">
        <v>3.1</v>
      </c>
      <c r="I766">
        <f>ROUND(calls[[#This Row],[Satisfaction Rating]],0)</f>
        <v>3</v>
      </c>
      <c r="J766" t="str">
        <f>TEXT(calls[[#This Row],[Date of Call]],"DDDD")</f>
        <v>Friday</v>
      </c>
    </row>
    <row r="767" spans="2:10" x14ac:dyDescent="0.25">
      <c r="B767" s="8" t="s">
        <v>789</v>
      </c>
      <c r="C767" s="2" t="s">
        <v>19</v>
      </c>
      <c r="D767" s="2">
        <v>64</v>
      </c>
      <c r="E767" s="3" t="s">
        <v>13</v>
      </c>
      <c r="F767" s="6">
        <v>45198</v>
      </c>
      <c r="G767" s="2">
        <v>112</v>
      </c>
      <c r="H767" s="9">
        <v>2</v>
      </c>
      <c r="I767">
        <f>ROUND(calls[[#This Row],[Satisfaction Rating]],0)</f>
        <v>2</v>
      </c>
      <c r="J767" t="str">
        <f>TEXT(calls[[#This Row],[Date of Call]],"DDDD")</f>
        <v>Friday</v>
      </c>
    </row>
    <row r="768" spans="2:10" x14ac:dyDescent="0.25">
      <c r="B768" s="8" t="s">
        <v>790</v>
      </c>
      <c r="C768" s="2" t="s">
        <v>22</v>
      </c>
      <c r="D768" s="2">
        <v>127</v>
      </c>
      <c r="E768" s="3" t="s">
        <v>9</v>
      </c>
      <c r="F768" s="6">
        <v>45198</v>
      </c>
      <c r="G768" s="2">
        <v>112</v>
      </c>
      <c r="H768" s="9">
        <v>4.5999999999999996</v>
      </c>
      <c r="I768">
        <f>ROUND(calls[[#This Row],[Satisfaction Rating]],0)</f>
        <v>5</v>
      </c>
      <c r="J768" t="str">
        <f>TEXT(calls[[#This Row],[Date of Call]],"DDDD")</f>
        <v>Friday</v>
      </c>
    </row>
    <row r="769" spans="2:10" x14ac:dyDescent="0.25">
      <c r="B769" s="8" t="s">
        <v>791</v>
      </c>
      <c r="C769" s="2" t="s">
        <v>5</v>
      </c>
      <c r="D769" s="2">
        <v>124</v>
      </c>
      <c r="E769" s="3" t="s">
        <v>11</v>
      </c>
      <c r="F769" s="6">
        <v>45198</v>
      </c>
      <c r="G769" s="2">
        <v>48</v>
      </c>
      <c r="H769" s="9">
        <v>3.7</v>
      </c>
      <c r="I769">
        <f>ROUND(calls[[#This Row],[Satisfaction Rating]],0)</f>
        <v>4</v>
      </c>
      <c r="J769" t="str">
        <f>TEXT(calls[[#This Row],[Date of Call]],"DDDD")</f>
        <v>Friday</v>
      </c>
    </row>
    <row r="770" spans="2:10" x14ac:dyDescent="0.25">
      <c r="B770" s="8" t="s">
        <v>792</v>
      </c>
      <c r="C770" s="2" t="s">
        <v>19</v>
      </c>
      <c r="D770" s="2">
        <v>125</v>
      </c>
      <c r="E770" s="3" t="s">
        <v>9</v>
      </c>
      <c r="F770" s="6">
        <v>45198</v>
      </c>
      <c r="G770" s="2">
        <v>116</v>
      </c>
      <c r="H770" s="9">
        <v>4.4000000000000004</v>
      </c>
      <c r="I770">
        <f>ROUND(calls[[#This Row],[Satisfaction Rating]],0)</f>
        <v>4</v>
      </c>
      <c r="J770" t="str">
        <f>TEXT(calls[[#This Row],[Date of Call]],"DDDD")</f>
        <v>Friday</v>
      </c>
    </row>
    <row r="771" spans="2:10" x14ac:dyDescent="0.25">
      <c r="B771" s="8" t="s">
        <v>793</v>
      </c>
      <c r="C771" s="2" t="s">
        <v>12</v>
      </c>
      <c r="D771" s="2">
        <v>70</v>
      </c>
      <c r="E771" s="3" t="s">
        <v>9</v>
      </c>
      <c r="F771" s="6">
        <v>45198</v>
      </c>
      <c r="G771" s="2">
        <v>29</v>
      </c>
      <c r="H771" s="9">
        <v>2.1</v>
      </c>
      <c r="I771">
        <f>ROUND(calls[[#This Row],[Satisfaction Rating]],0)</f>
        <v>2</v>
      </c>
      <c r="J771" t="str">
        <f>TEXT(calls[[#This Row],[Date of Call]],"DDDD")</f>
        <v>Friday</v>
      </c>
    </row>
    <row r="772" spans="2:10" x14ac:dyDescent="0.25">
      <c r="B772" s="8" t="s">
        <v>794</v>
      </c>
      <c r="C772" s="2" t="s">
        <v>22</v>
      </c>
      <c r="D772" s="2">
        <v>93</v>
      </c>
      <c r="E772" s="3" t="s">
        <v>13</v>
      </c>
      <c r="F772" s="6">
        <v>45199</v>
      </c>
      <c r="G772" s="2">
        <v>170</v>
      </c>
      <c r="H772" s="9">
        <v>2.2000000000000002</v>
      </c>
      <c r="I772">
        <f>ROUND(calls[[#This Row],[Satisfaction Rating]],0)</f>
        <v>2</v>
      </c>
      <c r="J772" t="str">
        <f>TEXT(calls[[#This Row],[Date of Call]],"DDDD")</f>
        <v>Saturday</v>
      </c>
    </row>
    <row r="773" spans="2:10" x14ac:dyDescent="0.25">
      <c r="B773" s="8" t="s">
        <v>795</v>
      </c>
      <c r="C773" s="2" t="s">
        <v>12</v>
      </c>
      <c r="D773" s="2">
        <v>120</v>
      </c>
      <c r="E773" s="3" t="s">
        <v>6</v>
      </c>
      <c r="F773" s="6">
        <v>45199</v>
      </c>
      <c r="G773" s="2">
        <v>68</v>
      </c>
      <c r="H773" s="9">
        <v>3.4</v>
      </c>
      <c r="I773">
        <f>ROUND(calls[[#This Row],[Satisfaction Rating]],0)</f>
        <v>3</v>
      </c>
      <c r="J773" t="str">
        <f>TEXT(calls[[#This Row],[Date of Call]],"DDDD")</f>
        <v>Saturday</v>
      </c>
    </row>
    <row r="774" spans="2:10" x14ac:dyDescent="0.25">
      <c r="B774" s="8" t="s">
        <v>796</v>
      </c>
      <c r="C774" s="2" t="s">
        <v>8</v>
      </c>
      <c r="D774" s="2">
        <v>96</v>
      </c>
      <c r="E774" s="3" t="s">
        <v>10</v>
      </c>
      <c r="F774" s="6">
        <v>45199</v>
      </c>
      <c r="G774" s="2">
        <v>195</v>
      </c>
      <c r="H774" s="9">
        <v>2.7</v>
      </c>
      <c r="I774">
        <f>ROUND(calls[[#This Row],[Satisfaction Rating]],0)</f>
        <v>3</v>
      </c>
      <c r="J774" t="str">
        <f>TEXT(calls[[#This Row],[Date of Call]],"DDDD")</f>
        <v>Saturday</v>
      </c>
    </row>
    <row r="775" spans="2:10" x14ac:dyDescent="0.25">
      <c r="B775" s="8" t="s">
        <v>797</v>
      </c>
      <c r="C775" s="2" t="s">
        <v>21</v>
      </c>
      <c r="D775" s="2">
        <v>67</v>
      </c>
      <c r="E775" s="3" t="s">
        <v>10</v>
      </c>
      <c r="F775" s="6">
        <v>45199</v>
      </c>
      <c r="G775" s="2">
        <v>96</v>
      </c>
      <c r="H775" s="9">
        <v>3.7</v>
      </c>
      <c r="I775">
        <f>ROUND(calls[[#This Row],[Satisfaction Rating]],0)</f>
        <v>4</v>
      </c>
      <c r="J775" t="str">
        <f>TEXT(calls[[#This Row],[Date of Call]],"DDDD")</f>
        <v>Saturday</v>
      </c>
    </row>
    <row r="776" spans="2:10" x14ac:dyDescent="0.25">
      <c r="B776" s="8" t="s">
        <v>798</v>
      </c>
      <c r="C776" s="2" t="s">
        <v>19</v>
      </c>
      <c r="D776" s="2">
        <v>119</v>
      </c>
      <c r="E776" s="3" t="s">
        <v>10</v>
      </c>
      <c r="F776" s="6">
        <v>45199</v>
      </c>
      <c r="G776" s="2">
        <v>96</v>
      </c>
      <c r="H776" s="9">
        <v>3.1</v>
      </c>
      <c r="I776">
        <f>ROUND(calls[[#This Row],[Satisfaction Rating]],0)</f>
        <v>3</v>
      </c>
      <c r="J776" t="str">
        <f>TEXT(calls[[#This Row],[Date of Call]],"DDDD")</f>
        <v>Saturday</v>
      </c>
    </row>
    <row r="777" spans="2:10" x14ac:dyDescent="0.25">
      <c r="B777" s="8" t="s">
        <v>799</v>
      </c>
      <c r="C777" s="2" t="s">
        <v>5</v>
      </c>
      <c r="D777" s="2">
        <v>61</v>
      </c>
      <c r="E777" s="3" t="s">
        <v>11</v>
      </c>
      <c r="F777" s="6">
        <v>45199</v>
      </c>
      <c r="G777" s="2">
        <v>117</v>
      </c>
      <c r="H777" s="9">
        <v>4.0999999999999996</v>
      </c>
      <c r="I777">
        <f>ROUND(calls[[#This Row],[Satisfaction Rating]],0)</f>
        <v>4</v>
      </c>
      <c r="J777" t="str">
        <f>TEXT(calls[[#This Row],[Date of Call]],"DDDD")</f>
        <v>Saturday</v>
      </c>
    </row>
    <row r="778" spans="2:10" x14ac:dyDescent="0.25">
      <c r="B778" s="8" t="s">
        <v>800</v>
      </c>
      <c r="C778" s="2" t="s">
        <v>8</v>
      </c>
      <c r="D778" s="2">
        <v>29</v>
      </c>
      <c r="E778" s="3" t="s">
        <v>13</v>
      </c>
      <c r="F778" s="6">
        <v>45199</v>
      </c>
      <c r="G778" s="2">
        <v>80</v>
      </c>
      <c r="H778" s="9">
        <v>4.8</v>
      </c>
      <c r="I778">
        <f>ROUND(calls[[#This Row],[Satisfaction Rating]],0)</f>
        <v>5</v>
      </c>
      <c r="J778" t="str">
        <f>TEXT(calls[[#This Row],[Date of Call]],"DDDD")</f>
        <v>Saturday</v>
      </c>
    </row>
    <row r="779" spans="2:10" x14ac:dyDescent="0.25">
      <c r="B779" s="8" t="s">
        <v>801</v>
      </c>
      <c r="C779" s="2" t="s">
        <v>24</v>
      </c>
      <c r="D779" s="2">
        <v>134</v>
      </c>
      <c r="E779" s="3" t="s">
        <v>6</v>
      </c>
      <c r="F779" s="6">
        <v>45199</v>
      </c>
      <c r="G779" s="2">
        <v>117</v>
      </c>
      <c r="H779" s="9">
        <v>4</v>
      </c>
      <c r="I779">
        <f>ROUND(calls[[#This Row],[Satisfaction Rating]],0)</f>
        <v>4</v>
      </c>
      <c r="J779" t="str">
        <f>TEXT(calls[[#This Row],[Date of Call]],"DDDD")</f>
        <v>Saturday</v>
      </c>
    </row>
    <row r="780" spans="2:10" x14ac:dyDescent="0.25">
      <c r="B780" s="8" t="s">
        <v>802</v>
      </c>
      <c r="C780" s="2" t="s">
        <v>7</v>
      </c>
      <c r="D780" s="2">
        <v>113</v>
      </c>
      <c r="E780" s="3" t="s">
        <v>10</v>
      </c>
      <c r="F780" s="6">
        <v>45200</v>
      </c>
      <c r="G780" s="2">
        <v>40</v>
      </c>
      <c r="H780" s="9">
        <v>3</v>
      </c>
      <c r="I780">
        <f>ROUND(calls[[#This Row],[Satisfaction Rating]],0)</f>
        <v>3</v>
      </c>
      <c r="J780" t="str">
        <f>TEXT(calls[[#This Row],[Date of Call]],"DDDD")</f>
        <v>Sunday</v>
      </c>
    </row>
    <row r="781" spans="2:10" x14ac:dyDescent="0.25">
      <c r="B781" s="8" t="s">
        <v>803</v>
      </c>
      <c r="C781" s="2" t="s">
        <v>17</v>
      </c>
      <c r="D781" s="2">
        <v>12</v>
      </c>
      <c r="E781" s="3" t="s">
        <v>6</v>
      </c>
      <c r="F781" s="6">
        <v>45200</v>
      </c>
      <c r="G781" s="2">
        <v>117</v>
      </c>
      <c r="H781" s="9">
        <v>4.8</v>
      </c>
      <c r="I781">
        <f>ROUND(calls[[#This Row],[Satisfaction Rating]],0)</f>
        <v>5</v>
      </c>
      <c r="J781" t="str">
        <f>TEXT(calls[[#This Row],[Date of Call]],"DDDD")</f>
        <v>Sunday</v>
      </c>
    </row>
    <row r="782" spans="2:10" x14ac:dyDescent="0.25">
      <c r="B782" s="8" t="s">
        <v>804</v>
      </c>
      <c r="C782" s="2" t="s">
        <v>14</v>
      </c>
      <c r="D782" s="2">
        <v>78</v>
      </c>
      <c r="E782" s="3" t="s">
        <v>13</v>
      </c>
      <c r="F782" s="6">
        <v>45200</v>
      </c>
      <c r="G782" s="2">
        <v>135</v>
      </c>
      <c r="H782" s="9">
        <v>4.0999999999999996</v>
      </c>
      <c r="I782">
        <f>ROUND(calls[[#This Row],[Satisfaction Rating]],0)</f>
        <v>4</v>
      </c>
      <c r="J782" t="str">
        <f>TEXT(calls[[#This Row],[Date of Call]],"DDDD")</f>
        <v>Sunday</v>
      </c>
    </row>
    <row r="783" spans="2:10" x14ac:dyDescent="0.25">
      <c r="B783" s="8" t="s">
        <v>805</v>
      </c>
      <c r="C783" s="2" t="s">
        <v>19</v>
      </c>
      <c r="D783" s="2">
        <v>82</v>
      </c>
      <c r="E783" s="3" t="s">
        <v>9</v>
      </c>
      <c r="F783" s="6">
        <v>45200</v>
      </c>
      <c r="G783" s="2">
        <v>99</v>
      </c>
      <c r="H783" s="9">
        <v>4.2</v>
      </c>
      <c r="I783">
        <f>ROUND(calls[[#This Row],[Satisfaction Rating]],0)</f>
        <v>4</v>
      </c>
      <c r="J783" t="str">
        <f>TEXT(calls[[#This Row],[Date of Call]],"DDDD")</f>
        <v>Sunday</v>
      </c>
    </row>
    <row r="784" spans="2:10" x14ac:dyDescent="0.25">
      <c r="B784" s="8" t="s">
        <v>806</v>
      </c>
      <c r="C784" s="2" t="s">
        <v>18</v>
      </c>
      <c r="D784" s="2">
        <v>149</v>
      </c>
      <c r="E784" s="3" t="s">
        <v>11</v>
      </c>
      <c r="F784" s="6">
        <v>45200</v>
      </c>
      <c r="G784" s="2">
        <v>130</v>
      </c>
      <c r="H784" s="9">
        <v>3.3</v>
      </c>
      <c r="I784">
        <f>ROUND(calls[[#This Row],[Satisfaction Rating]],0)</f>
        <v>3</v>
      </c>
      <c r="J784" t="str">
        <f>TEXT(calls[[#This Row],[Date of Call]],"DDDD")</f>
        <v>Sunday</v>
      </c>
    </row>
    <row r="785" spans="2:10" x14ac:dyDescent="0.25">
      <c r="B785" s="8" t="s">
        <v>807</v>
      </c>
      <c r="C785" s="2" t="s">
        <v>15</v>
      </c>
      <c r="D785" s="2">
        <v>56</v>
      </c>
      <c r="E785" s="3" t="s">
        <v>6</v>
      </c>
      <c r="F785" s="6">
        <v>45200</v>
      </c>
      <c r="G785" s="2">
        <v>96</v>
      </c>
      <c r="H785" s="9">
        <v>4.7</v>
      </c>
      <c r="I785">
        <f>ROUND(calls[[#This Row],[Satisfaction Rating]],0)</f>
        <v>5</v>
      </c>
      <c r="J785" t="str">
        <f>TEXT(calls[[#This Row],[Date of Call]],"DDDD")</f>
        <v>Sunday</v>
      </c>
    </row>
    <row r="786" spans="2:10" x14ac:dyDescent="0.25">
      <c r="B786" s="8" t="s">
        <v>808</v>
      </c>
      <c r="C786" s="2" t="s">
        <v>8</v>
      </c>
      <c r="D786" s="2">
        <v>80</v>
      </c>
      <c r="E786" s="3" t="s">
        <v>11</v>
      </c>
      <c r="F786" s="6">
        <v>45200</v>
      </c>
      <c r="G786" s="2">
        <v>128</v>
      </c>
      <c r="H786" s="9">
        <v>3.7</v>
      </c>
      <c r="I786">
        <f>ROUND(calls[[#This Row],[Satisfaction Rating]],0)</f>
        <v>4</v>
      </c>
      <c r="J786" t="str">
        <f>TEXT(calls[[#This Row],[Date of Call]],"DDDD")</f>
        <v>Sunday</v>
      </c>
    </row>
    <row r="787" spans="2:10" x14ac:dyDescent="0.25">
      <c r="B787" s="8" t="s">
        <v>809</v>
      </c>
      <c r="C787" s="2" t="s">
        <v>5</v>
      </c>
      <c r="D787" s="2">
        <v>131</v>
      </c>
      <c r="E787" s="3" t="s">
        <v>10</v>
      </c>
      <c r="F787" s="6">
        <v>45200</v>
      </c>
      <c r="G787" s="2">
        <v>69</v>
      </c>
      <c r="H787" s="9">
        <v>4.7</v>
      </c>
      <c r="I787">
        <f>ROUND(calls[[#This Row],[Satisfaction Rating]],0)</f>
        <v>5</v>
      </c>
      <c r="J787" t="str">
        <f>TEXT(calls[[#This Row],[Date of Call]],"DDDD")</f>
        <v>Sunday</v>
      </c>
    </row>
    <row r="788" spans="2:10" x14ac:dyDescent="0.25">
      <c r="B788" s="8" t="s">
        <v>810</v>
      </c>
      <c r="C788" s="2" t="s">
        <v>5</v>
      </c>
      <c r="D788" s="2">
        <v>109</v>
      </c>
      <c r="E788" s="3" t="s">
        <v>10</v>
      </c>
      <c r="F788" s="6">
        <v>45200</v>
      </c>
      <c r="G788" s="2">
        <v>44</v>
      </c>
      <c r="H788" s="9">
        <v>4.5999999999999996</v>
      </c>
      <c r="I788">
        <f>ROUND(calls[[#This Row],[Satisfaction Rating]],0)</f>
        <v>5</v>
      </c>
      <c r="J788" t="str">
        <f>TEXT(calls[[#This Row],[Date of Call]],"DDDD")</f>
        <v>Sunday</v>
      </c>
    </row>
    <row r="789" spans="2:10" x14ac:dyDescent="0.25">
      <c r="B789" s="8" t="s">
        <v>811</v>
      </c>
      <c r="C789" s="2" t="s">
        <v>15</v>
      </c>
      <c r="D789" s="2">
        <v>142</v>
      </c>
      <c r="E789" s="3" t="s">
        <v>10</v>
      </c>
      <c r="F789" s="6">
        <v>45200</v>
      </c>
      <c r="G789" s="2">
        <v>44</v>
      </c>
      <c r="H789" s="9">
        <v>4.8</v>
      </c>
      <c r="I789">
        <f>ROUND(calls[[#This Row],[Satisfaction Rating]],0)</f>
        <v>5</v>
      </c>
      <c r="J789" t="str">
        <f>TEXT(calls[[#This Row],[Date of Call]],"DDDD")</f>
        <v>Sunday</v>
      </c>
    </row>
    <row r="790" spans="2:10" x14ac:dyDescent="0.25">
      <c r="B790" s="8" t="s">
        <v>812</v>
      </c>
      <c r="C790" s="2" t="s">
        <v>22</v>
      </c>
      <c r="D790" s="2">
        <v>114</v>
      </c>
      <c r="E790" s="3" t="s">
        <v>6</v>
      </c>
      <c r="F790" s="6">
        <v>45201</v>
      </c>
      <c r="G790" s="2">
        <v>135</v>
      </c>
      <c r="H790" s="9">
        <v>2</v>
      </c>
      <c r="I790">
        <f>ROUND(calls[[#This Row],[Satisfaction Rating]],0)</f>
        <v>2</v>
      </c>
      <c r="J790" t="str">
        <f>TEXT(calls[[#This Row],[Date of Call]],"DDDD")</f>
        <v>Monday</v>
      </c>
    </row>
    <row r="791" spans="2:10" x14ac:dyDescent="0.25">
      <c r="B791" s="8" t="s">
        <v>813</v>
      </c>
      <c r="C791" s="2" t="s">
        <v>21</v>
      </c>
      <c r="D791" s="2">
        <v>93</v>
      </c>
      <c r="E791" s="3" t="s">
        <v>11</v>
      </c>
      <c r="F791" s="6">
        <v>45201</v>
      </c>
      <c r="G791" s="2">
        <v>45</v>
      </c>
      <c r="H791" s="9">
        <v>3.9</v>
      </c>
      <c r="I791">
        <f>ROUND(calls[[#This Row],[Satisfaction Rating]],0)</f>
        <v>4</v>
      </c>
      <c r="J791" t="str">
        <f>TEXT(calls[[#This Row],[Date of Call]],"DDDD")</f>
        <v>Monday</v>
      </c>
    </row>
    <row r="792" spans="2:10" x14ac:dyDescent="0.25">
      <c r="B792" s="8" t="s">
        <v>814</v>
      </c>
      <c r="C792" s="2" t="s">
        <v>17</v>
      </c>
      <c r="D792" s="2">
        <v>43</v>
      </c>
      <c r="E792" s="3" t="s">
        <v>11</v>
      </c>
      <c r="F792" s="6">
        <v>45201</v>
      </c>
      <c r="G792" s="2">
        <v>87</v>
      </c>
      <c r="H792" s="9">
        <v>3</v>
      </c>
      <c r="I792">
        <f>ROUND(calls[[#This Row],[Satisfaction Rating]],0)</f>
        <v>3</v>
      </c>
      <c r="J792" t="str">
        <f>TEXT(calls[[#This Row],[Date of Call]],"DDDD")</f>
        <v>Monday</v>
      </c>
    </row>
    <row r="793" spans="2:10" x14ac:dyDescent="0.25">
      <c r="B793" s="8" t="s">
        <v>815</v>
      </c>
      <c r="C793" s="2" t="s">
        <v>24</v>
      </c>
      <c r="D793" s="2">
        <v>78</v>
      </c>
      <c r="E793" s="3" t="s">
        <v>13</v>
      </c>
      <c r="F793" s="6">
        <v>45202</v>
      </c>
      <c r="G793" s="2">
        <v>84</v>
      </c>
      <c r="H793" s="9">
        <v>4.5999999999999996</v>
      </c>
      <c r="I793">
        <f>ROUND(calls[[#This Row],[Satisfaction Rating]],0)</f>
        <v>5</v>
      </c>
      <c r="J793" t="str">
        <f>TEXT(calls[[#This Row],[Date of Call]],"DDDD")</f>
        <v>Tuesday</v>
      </c>
    </row>
    <row r="794" spans="2:10" x14ac:dyDescent="0.25">
      <c r="B794" s="8" t="s">
        <v>816</v>
      </c>
      <c r="C794" s="2" t="s">
        <v>22</v>
      </c>
      <c r="D794" s="2">
        <v>89</v>
      </c>
      <c r="E794" s="3" t="s">
        <v>10</v>
      </c>
      <c r="F794" s="6">
        <v>45202</v>
      </c>
      <c r="G794" s="2">
        <v>81</v>
      </c>
      <c r="H794" s="9">
        <v>3.8</v>
      </c>
      <c r="I794">
        <f>ROUND(calls[[#This Row],[Satisfaction Rating]],0)</f>
        <v>4</v>
      </c>
      <c r="J794" t="str">
        <f>TEXT(calls[[#This Row],[Date of Call]],"DDDD")</f>
        <v>Tuesday</v>
      </c>
    </row>
    <row r="795" spans="2:10" x14ac:dyDescent="0.25">
      <c r="B795" s="8" t="s">
        <v>817</v>
      </c>
      <c r="C795" s="2" t="s">
        <v>15</v>
      </c>
      <c r="D795" s="2">
        <v>82</v>
      </c>
      <c r="E795" s="3" t="s">
        <v>9</v>
      </c>
      <c r="F795" s="6">
        <v>45202</v>
      </c>
      <c r="G795" s="2">
        <v>130</v>
      </c>
      <c r="H795" s="9">
        <v>4.4000000000000004</v>
      </c>
      <c r="I795">
        <f>ROUND(calls[[#This Row],[Satisfaction Rating]],0)</f>
        <v>4</v>
      </c>
      <c r="J795" t="str">
        <f>TEXT(calls[[#This Row],[Date of Call]],"DDDD")</f>
        <v>Tuesday</v>
      </c>
    </row>
    <row r="796" spans="2:10" x14ac:dyDescent="0.25">
      <c r="B796" s="8" t="s">
        <v>818</v>
      </c>
      <c r="C796" s="2" t="s">
        <v>8</v>
      </c>
      <c r="D796" s="2">
        <v>86</v>
      </c>
      <c r="E796" s="3" t="s">
        <v>10</v>
      </c>
      <c r="F796" s="6">
        <v>45203</v>
      </c>
      <c r="G796" s="2">
        <v>92</v>
      </c>
      <c r="H796" s="9">
        <v>2.4</v>
      </c>
      <c r="I796">
        <f>ROUND(calls[[#This Row],[Satisfaction Rating]],0)</f>
        <v>2</v>
      </c>
      <c r="J796" t="str">
        <f>TEXT(calls[[#This Row],[Date of Call]],"DDDD")</f>
        <v>Wednesday</v>
      </c>
    </row>
    <row r="797" spans="2:10" x14ac:dyDescent="0.25">
      <c r="B797" s="8" t="s">
        <v>819</v>
      </c>
      <c r="C797" s="2" t="s">
        <v>16</v>
      </c>
      <c r="D797" s="2">
        <v>57</v>
      </c>
      <c r="E797" s="3" t="s">
        <v>13</v>
      </c>
      <c r="F797" s="6">
        <v>45203</v>
      </c>
      <c r="G797" s="2">
        <v>48</v>
      </c>
      <c r="H797" s="9">
        <v>4.5</v>
      </c>
      <c r="I797">
        <f>ROUND(calls[[#This Row],[Satisfaction Rating]],0)</f>
        <v>5</v>
      </c>
      <c r="J797" t="str">
        <f>TEXT(calls[[#This Row],[Date of Call]],"DDDD")</f>
        <v>Wednesday</v>
      </c>
    </row>
    <row r="798" spans="2:10" x14ac:dyDescent="0.25">
      <c r="B798" s="8" t="s">
        <v>820</v>
      </c>
      <c r="C798" s="2" t="s">
        <v>21</v>
      </c>
      <c r="D798" s="2">
        <v>103</v>
      </c>
      <c r="E798" s="3" t="s">
        <v>6</v>
      </c>
      <c r="F798" s="6">
        <v>45203</v>
      </c>
      <c r="G798" s="2">
        <v>160</v>
      </c>
      <c r="H798" s="9">
        <v>4.5</v>
      </c>
      <c r="I798">
        <f>ROUND(calls[[#This Row],[Satisfaction Rating]],0)</f>
        <v>5</v>
      </c>
      <c r="J798" t="str">
        <f>TEXT(calls[[#This Row],[Date of Call]],"DDDD")</f>
        <v>Wednesday</v>
      </c>
    </row>
    <row r="799" spans="2:10" x14ac:dyDescent="0.25">
      <c r="B799" s="8" t="s">
        <v>821</v>
      </c>
      <c r="C799" s="2" t="s">
        <v>14</v>
      </c>
      <c r="D799" s="2">
        <v>138</v>
      </c>
      <c r="E799" s="3" t="s">
        <v>13</v>
      </c>
      <c r="F799" s="6">
        <v>45204</v>
      </c>
      <c r="G799" s="2">
        <v>155</v>
      </c>
      <c r="H799" s="9">
        <v>2.7</v>
      </c>
      <c r="I799">
        <f>ROUND(calls[[#This Row],[Satisfaction Rating]],0)</f>
        <v>3</v>
      </c>
      <c r="J799" t="str">
        <f>TEXT(calls[[#This Row],[Date of Call]],"DDDD")</f>
        <v>Thursday</v>
      </c>
    </row>
    <row r="800" spans="2:10" x14ac:dyDescent="0.25">
      <c r="B800" s="8" t="s">
        <v>822</v>
      </c>
      <c r="C800" s="2" t="s">
        <v>18</v>
      </c>
      <c r="D800" s="2">
        <v>88</v>
      </c>
      <c r="E800" s="3" t="s">
        <v>9</v>
      </c>
      <c r="F800" s="6">
        <v>45204</v>
      </c>
      <c r="G800" s="2">
        <v>100</v>
      </c>
      <c r="H800" s="9">
        <v>4.9000000000000004</v>
      </c>
      <c r="I800">
        <f>ROUND(calls[[#This Row],[Satisfaction Rating]],0)</f>
        <v>5</v>
      </c>
      <c r="J800" t="str">
        <f>TEXT(calls[[#This Row],[Date of Call]],"DDDD")</f>
        <v>Thursday</v>
      </c>
    </row>
    <row r="801" spans="2:10" x14ac:dyDescent="0.25">
      <c r="B801" s="8" t="s">
        <v>823</v>
      </c>
      <c r="C801" s="2" t="s">
        <v>22</v>
      </c>
      <c r="D801" s="2">
        <v>118</v>
      </c>
      <c r="E801" s="3" t="s">
        <v>11</v>
      </c>
      <c r="F801" s="6">
        <v>45204</v>
      </c>
      <c r="G801" s="2">
        <v>56</v>
      </c>
      <c r="H801" s="9">
        <v>3.7</v>
      </c>
      <c r="I801">
        <f>ROUND(calls[[#This Row],[Satisfaction Rating]],0)</f>
        <v>4</v>
      </c>
      <c r="J801" t="str">
        <f>TEXT(calls[[#This Row],[Date of Call]],"DDDD")</f>
        <v>Thursday</v>
      </c>
    </row>
    <row r="802" spans="2:10" x14ac:dyDescent="0.25">
      <c r="B802" s="8" t="s">
        <v>824</v>
      </c>
      <c r="C802" s="2" t="s">
        <v>8</v>
      </c>
      <c r="D802" s="2">
        <v>4</v>
      </c>
      <c r="E802" s="3" t="s">
        <v>10</v>
      </c>
      <c r="F802" s="6">
        <v>45204</v>
      </c>
      <c r="G802" s="2">
        <v>170</v>
      </c>
      <c r="H802" s="9">
        <v>3.9</v>
      </c>
      <c r="I802">
        <f>ROUND(calls[[#This Row],[Satisfaction Rating]],0)</f>
        <v>4</v>
      </c>
      <c r="J802" t="str">
        <f>TEXT(calls[[#This Row],[Date of Call]],"DDDD")</f>
        <v>Thursday</v>
      </c>
    </row>
    <row r="803" spans="2:10" x14ac:dyDescent="0.25">
      <c r="B803" s="8" t="s">
        <v>825</v>
      </c>
      <c r="C803" s="2" t="s">
        <v>17</v>
      </c>
      <c r="D803" s="2">
        <v>78</v>
      </c>
      <c r="E803" s="3" t="s">
        <v>6</v>
      </c>
      <c r="F803" s="6">
        <v>45205</v>
      </c>
      <c r="G803" s="2">
        <v>74</v>
      </c>
      <c r="H803" s="9">
        <v>3.5</v>
      </c>
      <c r="I803">
        <f>ROUND(calls[[#This Row],[Satisfaction Rating]],0)</f>
        <v>4</v>
      </c>
      <c r="J803" t="str">
        <f>TEXT(calls[[#This Row],[Date of Call]],"DDDD")</f>
        <v>Friday</v>
      </c>
    </row>
    <row r="804" spans="2:10" x14ac:dyDescent="0.25">
      <c r="B804" s="8" t="s">
        <v>826</v>
      </c>
      <c r="C804" s="2" t="s">
        <v>7</v>
      </c>
      <c r="D804" s="2">
        <v>69</v>
      </c>
      <c r="E804" s="3" t="s">
        <v>10</v>
      </c>
      <c r="F804" s="6">
        <v>45205</v>
      </c>
      <c r="G804" s="2">
        <v>99</v>
      </c>
      <c r="H804" s="9">
        <v>2.7</v>
      </c>
      <c r="I804">
        <f>ROUND(calls[[#This Row],[Satisfaction Rating]],0)</f>
        <v>3</v>
      </c>
      <c r="J804" t="str">
        <f>TEXT(calls[[#This Row],[Date of Call]],"DDDD")</f>
        <v>Friday</v>
      </c>
    </row>
    <row r="805" spans="2:10" x14ac:dyDescent="0.25">
      <c r="B805" s="8" t="s">
        <v>827</v>
      </c>
      <c r="C805" s="2" t="s">
        <v>15</v>
      </c>
      <c r="D805" s="2">
        <v>90</v>
      </c>
      <c r="E805" s="3" t="s">
        <v>13</v>
      </c>
      <c r="F805" s="6">
        <v>45205</v>
      </c>
      <c r="G805" s="2">
        <v>84</v>
      </c>
      <c r="H805" s="9">
        <v>3.9</v>
      </c>
      <c r="I805">
        <f>ROUND(calls[[#This Row],[Satisfaction Rating]],0)</f>
        <v>4</v>
      </c>
      <c r="J805" t="str">
        <f>TEXT(calls[[#This Row],[Date of Call]],"DDDD")</f>
        <v>Friday</v>
      </c>
    </row>
    <row r="806" spans="2:10" x14ac:dyDescent="0.25">
      <c r="B806" s="8" t="s">
        <v>828</v>
      </c>
      <c r="C806" s="2" t="s">
        <v>7</v>
      </c>
      <c r="D806" s="2">
        <v>134</v>
      </c>
      <c r="E806" s="3" t="s">
        <v>10</v>
      </c>
      <c r="F806" s="6">
        <v>45205</v>
      </c>
      <c r="G806" s="2">
        <v>35</v>
      </c>
      <c r="H806" s="9">
        <v>3.4</v>
      </c>
      <c r="I806">
        <f>ROUND(calls[[#This Row],[Satisfaction Rating]],0)</f>
        <v>3</v>
      </c>
      <c r="J806" t="str">
        <f>TEXT(calls[[#This Row],[Date of Call]],"DDDD")</f>
        <v>Friday</v>
      </c>
    </row>
    <row r="807" spans="2:10" x14ac:dyDescent="0.25">
      <c r="B807" s="8" t="s">
        <v>829</v>
      </c>
      <c r="C807" s="2" t="s">
        <v>12</v>
      </c>
      <c r="D807" s="2">
        <v>65</v>
      </c>
      <c r="E807" s="3" t="s">
        <v>11</v>
      </c>
      <c r="F807" s="6">
        <v>45205</v>
      </c>
      <c r="G807" s="2">
        <v>150</v>
      </c>
      <c r="H807" s="9">
        <v>5</v>
      </c>
      <c r="I807">
        <f>ROUND(calls[[#This Row],[Satisfaction Rating]],0)</f>
        <v>5</v>
      </c>
      <c r="J807" t="str">
        <f>TEXT(calls[[#This Row],[Date of Call]],"DDDD")</f>
        <v>Friday</v>
      </c>
    </row>
    <row r="808" spans="2:10" x14ac:dyDescent="0.25">
      <c r="B808" s="8" t="s">
        <v>830</v>
      </c>
      <c r="C808" s="2" t="s">
        <v>23</v>
      </c>
      <c r="D808" s="2">
        <v>54</v>
      </c>
      <c r="E808" s="3" t="s">
        <v>6</v>
      </c>
      <c r="F808" s="6">
        <v>45206</v>
      </c>
      <c r="G808" s="2">
        <v>176</v>
      </c>
      <c r="H808" s="9">
        <v>4.4000000000000004</v>
      </c>
      <c r="I808">
        <f>ROUND(calls[[#This Row],[Satisfaction Rating]],0)</f>
        <v>4</v>
      </c>
      <c r="J808" t="str">
        <f>TEXT(calls[[#This Row],[Date of Call]],"DDDD")</f>
        <v>Saturday</v>
      </c>
    </row>
    <row r="809" spans="2:10" x14ac:dyDescent="0.25">
      <c r="B809" s="8" t="s">
        <v>831</v>
      </c>
      <c r="C809" s="2" t="s">
        <v>23</v>
      </c>
      <c r="D809" s="2">
        <v>90</v>
      </c>
      <c r="E809" s="3" t="s">
        <v>6</v>
      </c>
      <c r="F809" s="6">
        <v>45206</v>
      </c>
      <c r="G809" s="2">
        <v>84</v>
      </c>
      <c r="H809" s="9">
        <v>4.3</v>
      </c>
      <c r="I809">
        <f>ROUND(calls[[#This Row],[Satisfaction Rating]],0)</f>
        <v>4</v>
      </c>
      <c r="J809" t="str">
        <f>TEXT(calls[[#This Row],[Date of Call]],"DDDD")</f>
        <v>Saturday</v>
      </c>
    </row>
    <row r="810" spans="2:10" x14ac:dyDescent="0.25">
      <c r="B810" s="8" t="s">
        <v>832</v>
      </c>
      <c r="C810" s="2" t="s">
        <v>15</v>
      </c>
      <c r="D810" s="2">
        <v>66</v>
      </c>
      <c r="E810" s="3" t="s">
        <v>6</v>
      </c>
      <c r="F810" s="6">
        <v>45206</v>
      </c>
      <c r="G810" s="2">
        <v>136</v>
      </c>
      <c r="H810" s="9">
        <v>4.7</v>
      </c>
      <c r="I810">
        <f>ROUND(calls[[#This Row],[Satisfaction Rating]],0)</f>
        <v>5</v>
      </c>
      <c r="J810" t="str">
        <f>TEXT(calls[[#This Row],[Date of Call]],"DDDD")</f>
        <v>Saturday</v>
      </c>
    </row>
    <row r="811" spans="2:10" x14ac:dyDescent="0.25">
      <c r="B811" s="8" t="s">
        <v>833</v>
      </c>
      <c r="C811" s="2" t="s">
        <v>8</v>
      </c>
      <c r="D811" s="2">
        <v>150</v>
      </c>
      <c r="E811" s="3" t="s">
        <v>6</v>
      </c>
      <c r="F811" s="6">
        <v>45207</v>
      </c>
      <c r="G811" s="2">
        <v>70</v>
      </c>
      <c r="H811" s="9">
        <v>4.0999999999999996</v>
      </c>
      <c r="I811">
        <f>ROUND(calls[[#This Row],[Satisfaction Rating]],0)</f>
        <v>4</v>
      </c>
      <c r="J811" t="str">
        <f>TEXT(calls[[#This Row],[Date of Call]],"DDDD")</f>
        <v>Sunday</v>
      </c>
    </row>
    <row r="812" spans="2:10" x14ac:dyDescent="0.25">
      <c r="B812" s="8" t="s">
        <v>834</v>
      </c>
      <c r="C812" s="2" t="s">
        <v>24</v>
      </c>
      <c r="D812" s="2">
        <v>18</v>
      </c>
      <c r="E812" s="3" t="s">
        <v>11</v>
      </c>
      <c r="F812" s="6">
        <v>45207</v>
      </c>
      <c r="G812" s="2">
        <v>96</v>
      </c>
      <c r="H812" s="9">
        <v>4.8</v>
      </c>
      <c r="I812">
        <f>ROUND(calls[[#This Row],[Satisfaction Rating]],0)</f>
        <v>5</v>
      </c>
      <c r="J812" t="str">
        <f>TEXT(calls[[#This Row],[Date of Call]],"DDDD")</f>
        <v>Sunday</v>
      </c>
    </row>
    <row r="813" spans="2:10" x14ac:dyDescent="0.25">
      <c r="B813" s="8" t="s">
        <v>835</v>
      </c>
      <c r="C813" s="2" t="s">
        <v>23</v>
      </c>
      <c r="D813" s="2">
        <v>87</v>
      </c>
      <c r="E813" s="3" t="s">
        <v>11</v>
      </c>
      <c r="F813" s="6">
        <v>45207</v>
      </c>
      <c r="G813" s="2">
        <v>23</v>
      </c>
      <c r="H813" s="9">
        <v>4.2</v>
      </c>
      <c r="I813">
        <f>ROUND(calls[[#This Row],[Satisfaction Rating]],0)</f>
        <v>4</v>
      </c>
      <c r="J813" t="str">
        <f>TEXT(calls[[#This Row],[Date of Call]],"DDDD")</f>
        <v>Sunday</v>
      </c>
    </row>
    <row r="814" spans="2:10" x14ac:dyDescent="0.25">
      <c r="B814" s="8" t="s">
        <v>836</v>
      </c>
      <c r="C814" s="2" t="s">
        <v>14</v>
      </c>
      <c r="D814" s="2">
        <v>94</v>
      </c>
      <c r="E814" s="3" t="s">
        <v>6</v>
      </c>
      <c r="F814" s="6">
        <v>45208</v>
      </c>
      <c r="G814" s="2">
        <v>120</v>
      </c>
      <c r="H814" s="9">
        <v>3.4</v>
      </c>
      <c r="I814">
        <f>ROUND(calls[[#This Row],[Satisfaction Rating]],0)</f>
        <v>3</v>
      </c>
      <c r="J814" t="str">
        <f>TEXT(calls[[#This Row],[Date of Call]],"DDDD")</f>
        <v>Monday</v>
      </c>
    </row>
    <row r="815" spans="2:10" x14ac:dyDescent="0.25">
      <c r="B815" s="8" t="s">
        <v>837</v>
      </c>
      <c r="C815" s="2" t="s">
        <v>16</v>
      </c>
      <c r="D815" s="2">
        <v>56</v>
      </c>
      <c r="E815" s="3" t="s">
        <v>6</v>
      </c>
      <c r="F815" s="6">
        <v>45208</v>
      </c>
      <c r="G815" s="2">
        <v>205</v>
      </c>
      <c r="H815" s="9">
        <v>3.3</v>
      </c>
      <c r="I815">
        <f>ROUND(calls[[#This Row],[Satisfaction Rating]],0)</f>
        <v>3</v>
      </c>
      <c r="J815" t="str">
        <f>TEXT(calls[[#This Row],[Date of Call]],"DDDD")</f>
        <v>Monday</v>
      </c>
    </row>
    <row r="816" spans="2:10" x14ac:dyDescent="0.25">
      <c r="B816" s="8" t="s">
        <v>838</v>
      </c>
      <c r="C816" s="2" t="s">
        <v>22</v>
      </c>
      <c r="D816" s="2">
        <v>41</v>
      </c>
      <c r="E816" s="3" t="s">
        <v>9</v>
      </c>
      <c r="F816" s="6">
        <v>45209</v>
      </c>
      <c r="G816" s="2">
        <v>42</v>
      </c>
      <c r="H816" s="9">
        <v>3.8</v>
      </c>
      <c r="I816">
        <f>ROUND(calls[[#This Row],[Satisfaction Rating]],0)</f>
        <v>4</v>
      </c>
      <c r="J816" t="str">
        <f>TEXT(calls[[#This Row],[Date of Call]],"DDDD")</f>
        <v>Tuesday</v>
      </c>
    </row>
    <row r="817" spans="2:10" x14ac:dyDescent="0.25">
      <c r="B817" s="8" t="s">
        <v>839</v>
      </c>
      <c r="C817" s="2" t="s">
        <v>8</v>
      </c>
      <c r="D817" s="2">
        <v>119</v>
      </c>
      <c r="E817" s="3" t="s">
        <v>13</v>
      </c>
      <c r="F817" s="6">
        <v>45209</v>
      </c>
      <c r="G817" s="2">
        <v>111</v>
      </c>
      <c r="H817" s="9">
        <v>3.9</v>
      </c>
      <c r="I817">
        <f>ROUND(calls[[#This Row],[Satisfaction Rating]],0)</f>
        <v>4</v>
      </c>
      <c r="J817" t="str">
        <f>TEXT(calls[[#This Row],[Date of Call]],"DDDD")</f>
        <v>Tuesday</v>
      </c>
    </row>
    <row r="818" spans="2:10" x14ac:dyDescent="0.25">
      <c r="B818" s="8" t="s">
        <v>840</v>
      </c>
      <c r="C818" s="2" t="s">
        <v>21</v>
      </c>
      <c r="D818" s="2">
        <v>108</v>
      </c>
      <c r="E818" s="3" t="s">
        <v>6</v>
      </c>
      <c r="F818" s="6">
        <v>45209</v>
      </c>
      <c r="G818" s="2">
        <v>68</v>
      </c>
      <c r="H818" s="9">
        <v>2.5</v>
      </c>
      <c r="I818">
        <f>ROUND(calls[[#This Row],[Satisfaction Rating]],0)</f>
        <v>3</v>
      </c>
      <c r="J818" t="str">
        <f>TEXT(calls[[#This Row],[Date of Call]],"DDDD")</f>
        <v>Tuesday</v>
      </c>
    </row>
    <row r="819" spans="2:10" x14ac:dyDescent="0.25">
      <c r="B819" s="8" t="s">
        <v>841</v>
      </c>
      <c r="C819" s="2" t="s">
        <v>17</v>
      </c>
      <c r="D819" s="2">
        <v>63</v>
      </c>
      <c r="E819" s="3" t="s">
        <v>10</v>
      </c>
      <c r="F819" s="6">
        <v>45209</v>
      </c>
      <c r="G819" s="2">
        <v>172</v>
      </c>
      <c r="H819" s="9">
        <v>4.9000000000000004</v>
      </c>
      <c r="I819">
        <f>ROUND(calls[[#This Row],[Satisfaction Rating]],0)</f>
        <v>5</v>
      </c>
      <c r="J819" t="str">
        <f>TEXT(calls[[#This Row],[Date of Call]],"DDDD")</f>
        <v>Tuesday</v>
      </c>
    </row>
    <row r="820" spans="2:10" x14ac:dyDescent="0.25">
      <c r="B820" s="8" t="s">
        <v>842</v>
      </c>
      <c r="C820" s="2" t="s">
        <v>19</v>
      </c>
      <c r="D820" s="2">
        <v>59</v>
      </c>
      <c r="E820" s="3" t="s">
        <v>6</v>
      </c>
      <c r="F820" s="6">
        <v>45209</v>
      </c>
      <c r="G820" s="2">
        <v>152</v>
      </c>
      <c r="H820" s="9">
        <v>4.8</v>
      </c>
      <c r="I820">
        <f>ROUND(calls[[#This Row],[Satisfaction Rating]],0)</f>
        <v>5</v>
      </c>
      <c r="J820" t="str">
        <f>TEXT(calls[[#This Row],[Date of Call]],"DDDD")</f>
        <v>Tuesday</v>
      </c>
    </row>
    <row r="821" spans="2:10" x14ac:dyDescent="0.25">
      <c r="B821" s="8" t="s">
        <v>843</v>
      </c>
      <c r="C821" s="2" t="s">
        <v>19</v>
      </c>
      <c r="D821" s="2">
        <v>90</v>
      </c>
      <c r="E821" s="3" t="s">
        <v>9</v>
      </c>
      <c r="F821" s="6">
        <v>45209</v>
      </c>
      <c r="G821" s="2">
        <v>48</v>
      </c>
      <c r="H821" s="9">
        <v>4.7</v>
      </c>
      <c r="I821">
        <f>ROUND(calls[[#This Row],[Satisfaction Rating]],0)</f>
        <v>5</v>
      </c>
      <c r="J821" t="str">
        <f>TEXT(calls[[#This Row],[Date of Call]],"DDDD")</f>
        <v>Tuesday</v>
      </c>
    </row>
    <row r="822" spans="2:10" x14ac:dyDescent="0.25">
      <c r="B822" s="8" t="s">
        <v>844</v>
      </c>
      <c r="C822" s="2" t="s">
        <v>18</v>
      </c>
      <c r="D822" s="2">
        <v>55</v>
      </c>
      <c r="E822" s="3" t="s">
        <v>9</v>
      </c>
      <c r="F822" s="6">
        <v>45209</v>
      </c>
      <c r="G822" s="2">
        <v>25</v>
      </c>
      <c r="H822" s="9">
        <v>4.7</v>
      </c>
      <c r="I822">
        <f>ROUND(calls[[#This Row],[Satisfaction Rating]],0)</f>
        <v>5</v>
      </c>
      <c r="J822" t="str">
        <f>TEXT(calls[[#This Row],[Date of Call]],"DDDD")</f>
        <v>Tuesday</v>
      </c>
    </row>
    <row r="823" spans="2:10" x14ac:dyDescent="0.25">
      <c r="B823" s="8" t="s">
        <v>845</v>
      </c>
      <c r="C823" s="2" t="s">
        <v>21</v>
      </c>
      <c r="D823" s="2">
        <v>84</v>
      </c>
      <c r="E823" s="3" t="s">
        <v>13</v>
      </c>
      <c r="F823" s="6">
        <v>45210</v>
      </c>
      <c r="G823" s="2">
        <v>54</v>
      </c>
      <c r="H823" s="9">
        <v>3.3</v>
      </c>
      <c r="I823">
        <f>ROUND(calls[[#This Row],[Satisfaction Rating]],0)</f>
        <v>3</v>
      </c>
      <c r="J823" t="str">
        <f>TEXT(calls[[#This Row],[Date of Call]],"DDDD")</f>
        <v>Wednesday</v>
      </c>
    </row>
    <row r="824" spans="2:10" x14ac:dyDescent="0.25">
      <c r="B824" s="8" t="s">
        <v>846</v>
      </c>
      <c r="C824" s="2" t="s">
        <v>21</v>
      </c>
      <c r="D824" s="2">
        <v>150</v>
      </c>
      <c r="E824" s="3" t="s">
        <v>11</v>
      </c>
      <c r="F824" s="6">
        <v>45210</v>
      </c>
      <c r="G824" s="2">
        <v>108</v>
      </c>
      <c r="H824" s="9">
        <v>4.7</v>
      </c>
      <c r="I824">
        <f>ROUND(calls[[#This Row],[Satisfaction Rating]],0)</f>
        <v>5</v>
      </c>
      <c r="J824" t="str">
        <f>TEXT(calls[[#This Row],[Date of Call]],"DDDD")</f>
        <v>Wednesday</v>
      </c>
    </row>
    <row r="825" spans="2:10" x14ac:dyDescent="0.25">
      <c r="B825" s="8" t="s">
        <v>847</v>
      </c>
      <c r="C825" s="2" t="s">
        <v>5</v>
      </c>
      <c r="D825" s="2">
        <v>69</v>
      </c>
      <c r="E825" s="3" t="s">
        <v>6</v>
      </c>
      <c r="F825" s="6">
        <v>45210</v>
      </c>
      <c r="G825" s="2">
        <v>36</v>
      </c>
      <c r="H825" s="9">
        <v>4.5</v>
      </c>
      <c r="I825">
        <f>ROUND(calls[[#This Row],[Satisfaction Rating]],0)</f>
        <v>5</v>
      </c>
      <c r="J825" t="str">
        <f>TEXT(calls[[#This Row],[Date of Call]],"DDDD")</f>
        <v>Wednesday</v>
      </c>
    </row>
    <row r="826" spans="2:10" x14ac:dyDescent="0.25">
      <c r="B826" s="8" t="s">
        <v>848</v>
      </c>
      <c r="C826" s="2" t="s">
        <v>20</v>
      </c>
      <c r="D826" s="2">
        <v>120</v>
      </c>
      <c r="E826" s="3" t="s">
        <v>9</v>
      </c>
      <c r="F826" s="6">
        <v>45211</v>
      </c>
      <c r="G826" s="2">
        <v>140</v>
      </c>
      <c r="H826" s="9">
        <v>4.5999999999999996</v>
      </c>
      <c r="I826">
        <f>ROUND(calls[[#This Row],[Satisfaction Rating]],0)</f>
        <v>5</v>
      </c>
      <c r="J826" t="str">
        <f>TEXT(calls[[#This Row],[Date of Call]],"DDDD")</f>
        <v>Thursday</v>
      </c>
    </row>
    <row r="827" spans="2:10" x14ac:dyDescent="0.25">
      <c r="B827" s="8" t="s">
        <v>849</v>
      </c>
      <c r="C827" s="2" t="s">
        <v>23</v>
      </c>
      <c r="D827" s="2">
        <v>126</v>
      </c>
      <c r="E827" s="3" t="s">
        <v>13</v>
      </c>
      <c r="F827" s="6">
        <v>45211</v>
      </c>
      <c r="G827" s="2">
        <v>50</v>
      </c>
      <c r="H827" s="9">
        <v>4.8</v>
      </c>
      <c r="I827">
        <f>ROUND(calls[[#This Row],[Satisfaction Rating]],0)</f>
        <v>5</v>
      </c>
      <c r="J827" t="str">
        <f>TEXT(calls[[#This Row],[Date of Call]],"DDDD")</f>
        <v>Thursday</v>
      </c>
    </row>
    <row r="828" spans="2:10" x14ac:dyDescent="0.25">
      <c r="B828" s="8" t="s">
        <v>850</v>
      </c>
      <c r="C828" s="2" t="s">
        <v>5</v>
      </c>
      <c r="D828" s="2">
        <v>120</v>
      </c>
      <c r="E828" s="3" t="s">
        <v>10</v>
      </c>
      <c r="F828" s="6">
        <v>45211</v>
      </c>
      <c r="G828" s="2">
        <v>195</v>
      </c>
      <c r="H828" s="9">
        <v>4.3</v>
      </c>
      <c r="I828">
        <f>ROUND(calls[[#This Row],[Satisfaction Rating]],0)</f>
        <v>4</v>
      </c>
      <c r="J828" t="str">
        <f>TEXT(calls[[#This Row],[Date of Call]],"DDDD")</f>
        <v>Thursday</v>
      </c>
    </row>
    <row r="829" spans="2:10" x14ac:dyDescent="0.25">
      <c r="B829" s="8" t="s">
        <v>851</v>
      </c>
      <c r="C829" s="2" t="s">
        <v>23</v>
      </c>
      <c r="D829" s="2">
        <v>139</v>
      </c>
      <c r="E829" s="3" t="s">
        <v>9</v>
      </c>
      <c r="F829" s="6">
        <v>45212</v>
      </c>
      <c r="G829" s="2">
        <v>48</v>
      </c>
      <c r="H829" s="9">
        <v>4.7</v>
      </c>
      <c r="I829">
        <f>ROUND(calls[[#This Row],[Satisfaction Rating]],0)</f>
        <v>5</v>
      </c>
      <c r="J829" t="str">
        <f>TEXT(calls[[#This Row],[Date of Call]],"DDDD")</f>
        <v>Friday</v>
      </c>
    </row>
    <row r="830" spans="2:10" x14ac:dyDescent="0.25">
      <c r="B830" s="8" t="s">
        <v>852</v>
      </c>
      <c r="C830" s="2" t="s">
        <v>18</v>
      </c>
      <c r="D830" s="2">
        <v>124</v>
      </c>
      <c r="E830" s="3" t="s">
        <v>6</v>
      </c>
      <c r="F830" s="6">
        <v>45213</v>
      </c>
      <c r="G830" s="2">
        <v>29</v>
      </c>
      <c r="H830" s="9">
        <v>4.8</v>
      </c>
      <c r="I830">
        <f>ROUND(calls[[#This Row],[Satisfaction Rating]],0)</f>
        <v>5</v>
      </c>
      <c r="J830" t="str">
        <f>TEXT(calls[[#This Row],[Date of Call]],"DDDD")</f>
        <v>Saturday</v>
      </c>
    </row>
    <row r="831" spans="2:10" x14ac:dyDescent="0.25">
      <c r="B831" s="8" t="s">
        <v>853</v>
      </c>
      <c r="C831" s="2" t="s">
        <v>20</v>
      </c>
      <c r="D831" s="2">
        <v>108</v>
      </c>
      <c r="E831" s="3" t="s">
        <v>10</v>
      </c>
      <c r="F831" s="6">
        <v>45213</v>
      </c>
      <c r="G831" s="2">
        <v>44</v>
      </c>
      <c r="H831" s="9">
        <v>4.7</v>
      </c>
      <c r="I831">
        <f>ROUND(calls[[#This Row],[Satisfaction Rating]],0)</f>
        <v>5</v>
      </c>
      <c r="J831" t="str">
        <f>TEXT(calls[[#This Row],[Date of Call]],"DDDD")</f>
        <v>Saturday</v>
      </c>
    </row>
    <row r="832" spans="2:10" x14ac:dyDescent="0.25">
      <c r="B832" s="8" t="s">
        <v>854</v>
      </c>
      <c r="C832" s="2" t="s">
        <v>12</v>
      </c>
      <c r="D832" s="2">
        <v>132</v>
      </c>
      <c r="E832" s="3" t="s">
        <v>11</v>
      </c>
      <c r="F832" s="6">
        <v>45213</v>
      </c>
      <c r="G832" s="2">
        <v>140</v>
      </c>
      <c r="H832" s="9">
        <v>4.3</v>
      </c>
      <c r="I832">
        <f>ROUND(calls[[#This Row],[Satisfaction Rating]],0)</f>
        <v>4</v>
      </c>
      <c r="J832" t="str">
        <f>TEXT(calls[[#This Row],[Date of Call]],"DDDD")</f>
        <v>Saturday</v>
      </c>
    </row>
    <row r="833" spans="2:10" x14ac:dyDescent="0.25">
      <c r="B833" s="8" t="s">
        <v>855</v>
      </c>
      <c r="C833" s="2" t="s">
        <v>17</v>
      </c>
      <c r="D833" s="2">
        <v>67</v>
      </c>
      <c r="E833" s="3" t="s">
        <v>11</v>
      </c>
      <c r="F833" s="6">
        <v>45213</v>
      </c>
      <c r="G833" s="2">
        <v>105</v>
      </c>
      <c r="H833" s="9">
        <v>3.8</v>
      </c>
      <c r="I833">
        <f>ROUND(calls[[#This Row],[Satisfaction Rating]],0)</f>
        <v>4</v>
      </c>
      <c r="J833" t="str">
        <f>TEXT(calls[[#This Row],[Date of Call]],"DDDD")</f>
        <v>Saturday</v>
      </c>
    </row>
    <row r="834" spans="2:10" x14ac:dyDescent="0.25">
      <c r="B834" s="8" t="s">
        <v>856</v>
      </c>
      <c r="C834" s="2" t="s">
        <v>15</v>
      </c>
      <c r="D834" s="2">
        <v>125</v>
      </c>
      <c r="E834" s="3" t="s">
        <v>11</v>
      </c>
      <c r="F834" s="6">
        <v>45213</v>
      </c>
      <c r="G834" s="2">
        <v>82</v>
      </c>
      <c r="H834" s="9">
        <v>4.5999999999999996</v>
      </c>
      <c r="I834">
        <f>ROUND(calls[[#This Row],[Satisfaction Rating]],0)</f>
        <v>5</v>
      </c>
      <c r="J834" t="str">
        <f>TEXT(calls[[#This Row],[Date of Call]],"DDDD")</f>
        <v>Saturday</v>
      </c>
    </row>
    <row r="835" spans="2:10" x14ac:dyDescent="0.25">
      <c r="B835" s="8" t="s">
        <v>857</v>
      </c>
      <c r="C835" s="2" t="s">
        <v>20</v>
      </c>
      <c r="D835" s="2">
        <v>23</v>
      </c>
      <c r="E835" s="3" t="s">
        <v>10</v>
      </c>
      <c r="F835" s="6">
        <v>45213</v>
      </c>
      <c r="G835" s="2">
        <v>24</v>
      </c>
      <c r="H835" s="9">
        <v>2.9</v>
      </c>
      <c r="I835">
        <f>ROUND(calls[[#This Row],[Satisfaction Rating]],0)</f>
        <v>3</v>
      </c>
      <c r="J835" t="str">
        <f>TEXT(calls[[#This Row],[Date of Call]],"DDDD")</f>
        <v>Saturday</v>
      </c>
    </row>
    <row r="836" spans="2:10" x14ac:dyDescent="0.25">
      <c r="B836" s="8" t="s">
        <v>858</v>
      </c>
      <c r="C836" s="2" t="s">
        <v>8</v>
      </c>
      <c r="D836" s="2">
        <v>131</v>
      </c>
      <c r="E836" s="3" t="s">
        <v>6</v>
      </c>
      <c r="F836" s="6">
        <v>45214</v>
      </c>
      <c r="G836" s="2">
        <v>205</v>
      </c>
      <c r="H836" s="9">
        <v>4.8</v>
      </c>
      <c r="I836">
        <f>ROUND(calls[[#This Row],[Satisfaction Rating]],0)</f>
        <v>5</v>
      </c>
      <c r="J836" t="str">
        <f>TEXT(calls[[#This Row],[Date of Call]],"DDDD")</f>
        <v>Sunday</v>
      </c>
    </row>
    <row r="837" spans="2:10" x14ac:dyDescent="0.25">
      <c r="B837" s="8" t="s">
        <v>859</v>
      </c>
      <c r="C837" s="2" t="s">
        <v>12</v>
      </c>
      <c r="D837" s="2">
        <v>56</v>
      </c>
      <c r="E837" s="3" t="s">
        <v>9</v>
      </c>
      <c r="F837" s="6">
        <v>45214</v>
      </c>
      <c r="G837" s="2">
        <v>225</v>
      </c>
      <c r="H837" s="9">
        <v>4.9000000000000004</v>
      </c>
      <c r="I837">
        <f>ROUND(calls[[#This Row],[Satisfaction Rating]],0)</f>
        <v>5</v>
      </c>
      <c r="J837" t="str">
        <f>TEXT(calls[[#This Row],[Date of Call]],"DDDD")</f>
        <v>Sunday</v>
      </c>
    </row>
    <row r="838" spans="2:10" x14ac:dyDescent="0.25">
      <c r="B838" s="8" t="s">
        <v>860</v>
      </c>
      <c r="C838" s="2" t="s">
        <v>8</v>
      </c>
      <c r="D838" s="2">
        <v>70</v>
      </c>
      <c r="E838" s="3" t="s">
        <v>6</v>
      </c>
      <c r="F838" s="6">
        <v>45214</v>
      </c>
      <c r="G838" s="2">
        <v>50</v>
      </c>
      <c r="H838" s="9">
        <v>3.4</v>
      </c>
      <c r="I838">
        <f>ROUND(calls[[#This Row],[Satisfaction Rating]],0)</f>
        <v>3</v>
      </c>
      <c r="J838" t="str">
        <f>TEXT(calls[[#This Row],[Date of Call]],"DDDD")</f>
        <v>Sunday</v>
      </c>
    </row>
    <row r="839" spans="2:10" x14ac:dyDescent="0.25">
      <c r="B839" s="8" t="s">
        <v>861</v>
      </c>
      <c r="C839" s="2" t="s">
        <v>8</v>
      </c>
      <c r="D839" s="2">
        <v>55</v>
      </c>
      <c r="E839" s="3" t="s">
        <v>11</v>
      </c>
      <c r="F839" s="6">
        <v>45214</v>
      </c>
      <c r="G839" s="2">
        <v>80</v>
      </c>
      <c r="H839" s="9">
        <v>4.3</v>
      </c>
      <c r="I839">
        <f>ROUND(calls[[#This Row],[Satisfaction Rating]],0)</f>
        <v>4</v>
      </c>
      <c r="J839" t="str">
        <f>TEXT(calls[[#This Row],[Date of Call]],"DDDD")</f>
        <v>Sunday</v>
      </c>
    </row>
    <row r="840" spans="2:10" x14ac:dyDescent="0.25">
      <c r="B840" s="8" t="s">
        <v>862</v>
      </c>
      <c r="C840" s="2" t="s">
        <v>15</v>
      </c>
      <c r="D840" s="2">
        <v>77</v>
      </c>
      <c r="E840" s="3" t="s">
        <v>9</v>
      </c>
      <c r="F840" s="6">
        <v>45214</v>
      </c>
      <c r="G840" s="2">
        <v>78</v>
      </c>
      <c r="H840" s="9">
        <v>3.9</v>
      </c>
      <c r="I840">
        <f>ROUND(calls[[#This Row],[Satisfaction Rating]],0)</f>
        <v>4</v>
      </c>
      <c r="J840" t="str">
        <f>TEXT(calls[[#This Row],[Date of Call]],"DDDD")</f>
        <v>Sunday</v>
      </c>
    </row>
    <row r="841" spans="2:10" x14ac:dyDescent="0.25">
      <c r="B841" s="8" t="s">
        <v>863</v>
      </c>
      <c r="C841" s="2" t="s">
        <v>21</v>
      </c>
      <c r="D841" s="2">
        <v>133</v>
      </c>
      <c r="E841" s="3" t="s">
        <v>6</v>
      </c>
      <c r="F841" s="6">
        <v>45215</v>
      </c>
      <c r="G841" s="2">
        <v>40</v>
      </c>
      <c r="H841" s="9">
        <v>3.9</v>
      </c>
      <c r="I841">
        <f>ROUND(calls[[#This Row],[Satisfaction Rating]],0)</f>
        <v>4</v>
      </c>
      <c r="J841" t="str">
        <f>TEXT(calls[[#This Row],[Date of Call]],"DDDD")</f>
        <v>Monday</v>
      </c>
    </row>
    <row r="842" spans="2:10" x14ac:dyDescent="0.25">
      <c r="B842" s="8" t="s">
        <v>864</v>
      </c>
      <c r="C842" s="2" t="s">
        <v>15</v>
      </c>
      <c r="D842" s="2">
        <v>77</v>
      </c>
      <c r="E842" s="3" t="s">
        <v>9</v>
      </c>
      <c r="F842" s="6">
        <v>45215</v>
      </c>
      <c r="G842" s="2">
        <v>176</v>
      </c>
      <c r="H842" s="9">
        <v>1.5</v>
      </c>
      <c r="I842">
        <f>ROUND(calls[[#This Row],[Satisfaction Rating]],0)</f>
        <v>2</v>
      </c>
      <c r="J842" t="str">
        <f>TEXT(calls[[#This Row],[Date of Call]],"DDDD")</f>
        <v>Monday</v>
      </c>
    </row>
    <row r="843" spans="2:10" x14ac:dyDescent="0.25">
      <c r="B843" s="8" t="s">
        <v>865</v>
      </c>
      <c r="C843" s="2" t="s">
        <v>19</v>
      </c>
      <c r="D843" s="2">
        <v>103</v>
      </c>
      <c r="E843" s="3" t="s">
        <v>6</v>
      </c>
      <c r="F843" s="6">
        <v>45215</v>
      </c>
      <c r="G843" s="2">
        <v>78</v>
      </c>
      <c r="H843" s="9">
        <v>3</v>
      </c>
      <c r="I843">
        <f>ROUND(calls[[#This Row],[Satisfaction Rating]],0)</f>
        <v>3</v>
      </c>
      <c r="J843" t="str">
        <f>TEXT(calls[[#This Row],[Date of Call]],"DDDD")</f>
        <v>Monday</v>
      </c>
    </row>
    <row r="844" spans="2:10" x14ac:dyDescent="0.25">
      <c r="B844" s="8" t="s">
        <v>866</v>
      </c>
      <c r="C844" s="2" t="s">
        <v>5</v>
      </c>
      <c r="D844" s="2">
        <v>32</v>
      </c>
      <c r="E844" s="3" t="s">
        <v>9</v>
      </c>
      <c r="F844" s="6">
        <v>45215</v>
      </c>
      <c r="G844" s="2">
        <v>42</v>
      </c>
      <c r="H844" s="9">
        <v>4.2</v>
      </c>
      <c r="I844">
        <f>ROUND(calls[[#This Row],[Satisfaction Rating]],0)</f>
        <v>4</v>
      </c>
      <c r="J844" t="str">
        <f>TEXT(calls[[#This Row],[Date of Call]],"DDDD")</f>
        <v>Monday</v>
      </c>
    </row>
    <row r="845" spans="2:10" x14ac:dyDescent="0.25">
      <c r="B845" s="8" t="s">
        <v>867</v>
      </c>
      <c r="C845" s="2" t="s">
        <v>21</v>
      </c>
      <c r="D845" s="2">
        <v>30</v>
      </c>
      <c r="E845" s="3" t="s">
        <v>6</v>
      </c>
      <c r="F845" s="6">
        <v>45215</v>
      </c>
      <c r="G845" s="2">
        <v>38</v>
      </c>
      <c r="H845" s="9">
        <v>3.7</v>
      </c>
      <c r="I845">
        <f>ROUND(calls[[#This Row],[Satisfaction Rating]],0)</f>
        <v>4</v>
      </c>
      <c r="J845" t="str">
        <f>TEXT(calls[[#This Row],[Date of Call]],"DDDD")</f>
        <v>Monday</v>
      </c>
    </row>
    <row r="846" spans="2:10" x14ac:dyDescent="0.25">
      <c r="B846" s="8" t="s">
        <v>868</v>
      </c>
      <c r="C846" s="2" t="s">
        <v>23</v>
      </c>
      <c r="D846" s="2">
        <v>87</v>
      </c>
      <c r="E846" s="3" t="s">
        <v>13</v>
      </c>
      <c r="F846" s="6">
        <v>45215</v>
      </c>
      <c r="G846" s="2">
        <v>27</v>
      </c>
      <c r="H846" s="9">
        <v>4.2</v>
      </c>
      <c r="I846">
        <f>ROUND(calls[[#This Row],[Satisfaction Rating]],0)</f>
        <v>4</v>
      </c>
      <c r="J846" t="str">
        <f>TEXT(calls[[#This Row],[Date of Call]],"DDDD")</f>
        <v>Monday</v>
      </c>
    </row>
    <row r="847" spans="2:10" x14ac:dyDescent="0.25">
      <c r="B847" s="8" t="s">
        <v>869</v>
      </c>
      <c r="C847" s="2" t="s">
        <v>15</v>
      </c>
      <c r="D847" s="2">
        <v>137</v>
      </c>
      <c r="E847" s="3" t="s">
        <v>10</v>
      </c>
      <c r="F847" s="6">
        <v>45216</v>
      </c>
      <c r="G847" s="2">
        <v>45</v>
      </c>
      <c r="H847" s="9">
        <v>4.4000000000000004</v>
      </c>
      <c r="I847">
        <f>ROUND(calls[[#This Row],[Satisfaction Rating]],0)</f>
        <v>4</v>
      </c>
      <c r="J847" t="str">
        <f>TEXT(calls[[#This Row],[Date of Call]],"DDDD")</f>
        <v>Tuesday</v>
      </c>
    </row>
    <row r="848" spans="2:10" x14ac:dyDescent="0.25">
      <c r="B848" s="8" t="s">
        <v>870</v>
      </c>
      <c r="C848" s="2" t="s">
        <v>14</v>
      </c>
      <c r="D848" s="2">
        <v>96</v>
      </c>
      <c r="E848" s="3" t="s">
        <v>6</v>
      </c>
      <c r="F848" s="6">
        <v>45216</v>
      </c>
      <c r="G848" s="2">
        <v>215</v>
      </c>
      <c r="H848" s="9">
        <v>4</v>
      </c>
      <c r="I848">
        <f>ROUND(calls[[#This Row],[Satisfaction Rating]],0)</f>
        <v>4</v>
      </c>
      <c r="J848" t="str">
        <f>TEXT(calls[[#This Row],[Date of Call]],"DDDD")</f>
        <v>Tuesday</v>
      </c>
    </row>
    <row r="849" spans="2:10" x14ac:dyDescent="0.25">
      <c r="B849" s="8" t="s">
        <v>871</v>
      </c>
      <c r="C849" s="2" t="s">
        <v>18</v>
      </c>
      <c r="D849" s="2">
        <v>155</v>
      </c>
      <c r="E849" s="3" t="s">
        <v>6</v>
      </c>
      <c r="F849" s="6">
        <v>45217</v>
      </c>
      <c r="G849" s="2">
        <v>72</v>
      </c>
      <c r="H849" s="9">
        <v>4.7</v>
      </c>
      <c r="I849">
        <f>ROUND(calls[[#This Row],[Satisfaction Rating]],0)</f>
        <v>5</v>
      </c>
      <c r="J849" t="str">
        <f>TEXT(calls[[#This Row],[Date of Call]],"DDDD")</f>
        <v>Wednesday</v>
      </c>
    </row>
    <row r="850" spans="2:10" x14ac:dyDescent="0.25">
      <c r="B850" s="8" t="s">
        <v>872</v>
      </c>
      <c r="C850" s="2" t="s">
        <v>21</v>
      </c>
      <c r="D850" s="2">
        <v>173</v>
      </c>
      <c r="E850" s="3" t="s">
        <v>11</v>
      </c>
      <c r="F850" s="6">
        <v>45217</v>
      </c>
      <c r="G850" s="2">
        <v>160</v>
      </c>
      <c r="H850" s="9">
        <v>2.8</v>
      </c>
      <c r="I850">
        <f>ROUND(calls[[#This Row],[Satisfaction Rating]],0)</f>
        <v>3</v>
      </c>
      <c r="J850" t="str">
        <f>TEXT(calls[[#This Row],[Date of Call]],"DDDD")</f>
        <v>Wednesday</v>
      </c>
    </row>
    <row r="851" spans="2:10" x14ac:dyDescent="0.25">
      <c r="B851" s="8" t="s">
        <v>873</v>
      </c>
      <c r="C851" s="2" t="s">
        <v>18</v>
      </c>
      <c r="D851" s="2">
        <v>127</v>
      </c>
      <c r="E851" s="3" t="s">
        <v>6</v>
      </c>
      <c r="F851" s="6">
        <v>45217</v>
      </c>
      <c r="G851" s="2">
        <v>165</v>
      </c>
      <c r="H851" s="9">
        <v>2.5</v>
      </c>
      <c r="I851">
        <f>ROUND(calls[[#This Row],[Satisfaction Rating]],0)</f>
        <v>3</v>
      </c>
      <c r="J851" t="str">
        <f>TEXT(calls[[#This Row],[Date of Call]],"DDDD")</f>
        <v>Wednesday</v>
      </c>
    </row>
    <row r="852" spans="2:10" x14ac:dyDescent="0.25">
      <c r="B852" s="8" t="s">
        <v>874</v>
      </c>
      <c r="C852" s="2" t="s">
        <v>12</v>
      </c>
      <c r="D852" s="2">
        <v>117</v>
      </c>
      <c r="E852" s="3" t="s">
        <v>11</v>
      </c>
      <c r="F852" s="6">
        <v>45217</v>
      </c>
      <c r="G852" s="2">
        <v>120</v>
      </c>
      <c r="H852" s="9">
        <v>3.4</v>
      </c>
      <c r="I852">
        <f>ROUND(calls[[#This Row],[Satisfaction Rating]],0)</f>
        <v>3</v>
      </c>
      <c r="J852" t="str">
        <f>TEXT(calls[[#This Row],[Date of Call]],"DDDD")</f>
        <v>Wednesday</v>
      </c>
    </row>
    <row r="853" spans="2:10" x14ac:dyDescent="0.25">
      <c r="B853" s="8" t="s">
        <v>875</v>
      </c>
      <c r="C853" s="2" t="s">
        <v>20</v>
      </c>
      <c r="D853" s="2">
        <v>133</v>
      </c>
      <c r="E853" s="3" t="s">
        <v>9</v>
      </c>
      <c r="F853" s="6">
        <v>45217</v>
      </c>
      <c r="G853" s="2">
        <v>117</v>
      </c>
      <c r="H853" s="9">
        <v>4.8</v>
      </c>
      <c r="I853">
        <f>ROUND(calls[[#This Row],[Satisfaction Rating]],0)</f>
        <v>5</v>
      </c>
      <c r="J853" t="str">
        <f>TEXT(calls[[#This Row],[Date of Call]],"DDDD")</f>
        <v>Wednesday</v>
      </c>
    </row>
    <row r="854" spans="2:10" x14ac:dyDescent="0.25">
      <c r="B854" s="8" t="s">
        <v>876</v>
      </c>
      <c r="C854" s="2" t="s">
        <v>24</v>
      </c>
      <c r="D854" s="2">
        <v>166</v>
      </c>
      <c r="E854" s="3" t="s">
        <v>13</v>
      </c>
      <c r="F854" s="6">
        <v>45218</v>
      </c>
      <c r="G854" s="2">
        <v>29</v>
      </c>
      <c r="H854" s="9">
        <v>4.3</v>
      </c>
      <c r="I854">
        <f>ROUND(calls[[#This Row],[Satisfaction Rating]],0)</f>
        <v>4</v>
      </c>
      <c r="J854" t="str">
        <f>TEXT(calls[[#This Row],[Date of Call]],"DDDD")</f>
        <v>Thursday</v>
      </c>
    </row>
    <row r="855" spans="2:10" x14ac:dyDescent="0.25">
      <c r="B855" s="8" t="s">
        <v>877</v>
      </c>
      <c r="C855" s="2" t="s">
        <v>20</v>
      </c>
      <c r="D855" s="2">
        <v>50</v>
      </c>
      <c r="E855" s="3" t="s">
        <v>11</v>
      </c>
      <c r="F855" s="6">
        <v>45218</v>
      </c>
      <c r="G855" s="2">
        <v>64</v>
      </c>
      <c r="H855" s="9">
        <v>4.5</v>
      </c>
      <c r="I855">
        <f>ROUND(calls[[#This Row],[Satisfaction Rating]],0)</f>
        <v>5</v>
      </c>
      <c r="J855" t="str">
        <f>TEXT(calls[[#This Row],[Date of Call]],"DDDD")</f>
        <v>Thursday</v>
      </c>
    </row>
    <row r="856" spans="2:10" x14ac:dyDescent="0.25">
      <c r="B856" s="8" t="s">
        <v>878</v>
      </c>
      <c r="C856" s="2" t="s">
        <v>19</v>
      </c>
      <c r="D856" s="2">
        <v>43</v>
      </c>
      <c r="E856" s="3" t="s">
        <v>9</v>
      </c>
      <c r="F856" s="6">
        <v>45218</v>
      </c>
      <c r="G856" s="2">
        <v>84</v>
      </c>
      <c r="H856" s="9">
        <v>3.6</v>
      </c>
      <c r="I856">
        <f>ROUND(calls[[#This Row],[Satisfaction Rating]],0)</f>
        <v>4</v>
      </c>
      <c r="J856" t="str">
        <f>TEXT(calls[[#This Row],[Date of Call]],"DDDD")</f>
        <v>Thursday</v>
      </c>
    </row>
    <row r="857" spans="2:10" x14ac:dyDescent="0.25">
      <c r="B857" s="8" t="s">
        <v>879</v>
      </c>
      <c r="C857" s="2" t="s">
        <v>14</v>
      </c>
      <c r="D857" s="2">
        <v>124</v>
      </c>
      <c r="E857" s="3" t="s">
        <v>6</v>
      </c>
      <c r="F857" s="6">
        <v>45218</v>
      </c>
      <c r="G857" s="2">
        <v>42</v>
      </c>
      <c r="H857" s="9">
        <v>3.7</v>
      </c>
      <c r="I857">
        <f>ROUND(calls[[#This Row],[Satisfaction Rating]],0)</f>
        <v>4</v>
      </c>
      <c r="J857" t="str">
        <f>TEXT(calls[[#This Row],[Date of Call]],"DDDD")</f>
        <v>Thursday</v>
      </c>
    </row>
    <row r="858" spans="2:10" x14ac:dyDescent="0.25">
      <c r="B858" s="8" t="s">
        <v>880</v>
      </c>
      <c r="C858" s="2" t="s">
        <v>21</v>
      </c>
      <c r="D858" s="2">
        <v>94</v>
      </c>
      <c r="E858" s="3" t="s">
        <v>6</v>
      </c>
      <c r="F858" s="6">
        <v>45218</v>
      </c>
      <c r="G858" s="2">
        <v>120</v>
      </c>
      <c r="H858" s="9">
        <v>3.5</v>
      </c>
      <c r="I858">
        <f>ROUND(calls[[#This Row],[Satisfaction Rating]],0)</f>
        <v>4</v>
      </c>
      <c r="J858" t="str">
        <f>TEXT(calls[[#This Row],[Date of Call]],"DDDD")</f>
        <v>Thursday</v>
      </c>
    </row>
    <row r="859" spans="2:10" x14ac:dyDescent="0.25">
      <c r="B859" s="8" t="s">
        <v>881</v>
      </c>
      <c r="C859" s="2" t="s">
        <v>19</v>
      </c>
      <c r="D859" s="2">
        <v>126</v>
      </c>
      <c r="E859" s="3" t="s">
        <v>13</v>
      </c>
      <c r="F859" s="6">
        <v>45219</v>
      </c>
      <c r="G859" s="2">
        <v>80</v>
      </c>
      <c r="H859" s="9">
        <v>4.7</v>
      </c>
      <c r="I859">
        <f>ROUND(calls[[#This Row],[Satisfaction Rating]],0)</f>
        <v>5</v>
      </c>
      <c r="J859" t="str">
        <f>TEXT(calls[[#This Row],[Date of Call]],"DDDD")</f>
        <v>Friday</v>
      </c>
    </row>
    <row r="860" spans="2:10" x14ac:dyDescent="0.25">
      <c r="B860" s="8" t="s">
        <v>882</v>
      </c>
      <c r="C860" s="2" t="s">
        <v>24</v>
      </c>
      <c r="D860" s="2">
        <v>105</v>
      </c>
      <c r="E860" s="3" t="s">
        <v>11</v>
      </c>
      <c r="F860" s="6">
        <v>45219</v>
      </c>
      <c r="G860" s="2">
        <v>185</v>
      </c>
      <c r="H860" s="9">
        <v>3.5</v>
      </c>
      <c r="I860">
        <f>ROUND(calls[[#This Row],[Satisfaction Rating]],0)</f>
        <v>4</v>
      </c>
      <c r="J860" t="str">
        <f>TEXT(calls[[#This Row],[Date of Call]],"DDDD")</f>
        <v>Friday</v>
      </c>
    </row>
    <row r="861" spans="2:10" x14ac:dyDescent="0.25">
      <c r="B861" s="8" t="s">
        <v>883</v>
      </c>
      <c r="C861" s="2" t="s">
        <v>8</v>
      </c>
      <c r="D861" s="2">
        <v>60</v>
      </c>
      <c r="E861" s="3" t="s">
        <v>10</v>
      </c>
      <c r="F861" s="6">
        <v>45220</v>
      </c>
      <c r="G861" s="2">
        <v>135</v>
      </c>
      <c r="H861" s="9">
        <v>3.9</v>
      </c>
      <c r="I861">
        <f>ROUND(calls[[#This Row],[Satisfaction Rating]],0)</f>
        <v>4</v>
      </c>
      <c r="J861" t="str">
        <f>TEXT(calls[[#This Row],[Date of Call]],"DDDD")</f>
        <v>Saturday</v>
      </c>
    </row>
    <row r="862" spans="2:10" x14ac:dyDescent="0.25">
      <c r="B862" s="8" t="s">
        <v>884</v>
      </c>
      <c r="C862" s="2" t="s">
        <v>8</v>
      </c>
      <c r="D862" s="2">
        <v>72</v>
      </c>
      <c r="E862" s="3" t="s">
        <v>11</v>
      </c>
      <c r="F862" s="6">
        <v>45220</v>
      </c>
      <c r="G862" s="2">
        <v>20</v>
      </c>
      <c r="H862" s="9">
        <v>4.8</v>
      </c>
      <c r="I862">
        <f>ROUND(calls[[#This Row],[Satisfaction Rating]],0)</f>
        <v>5</v>
      </c>
      <c r="J862" t="str">
        <f>TEXT(calls[[#This Row],[Date of Call]],"DDDD")</f>
        <v>Saturday</v>
      </c>
    </row>
    <row r="863" spans="2:10" x14ac:dyDescent="0.25">
      <c r="B863" s="8" t="s">
        <v>885</v>
      </c>
      <c r="C863" s="2" t="s">
        <v>16</v>
      </c>
      <c r="D863" s="2">
        <v>40</v>
      </c>
      <c r="E863" s="3" t="s">
        <v>11</v>
      </c>
      <c r="F863" s="6">
        <v>45220</v>
      </c>
      <c r="G863" s="2">
        <v>31</v>
      </c>
      <c r="H863" s="9">
        <v>4</v>
      </c>
      <c r="I863">
        <f>ROUND(calls[[#This Row],[Satisfaction Rating]],0)</f>
        <v>4</v>
      </c>
      <c r="J863" t="str">
        <f>TEXT(calls[[#This Row],[Date of Call]],"DDDD")</f>
        <v>Saturday</v>
      </c>
    </row>
    <row r="864" spans="2:10" x14ac:dyDescent="0.25">
      <c r="B864" s="8" t="s">
        <v>886</v>
      </c>
      <c r="C864" s="2" t="s">
        <v>5</v>
      </c>
      <c r="D864" s="2">
        <v>54</v>
      </c>
      <c r="E864" s="3" t="s">
        <v>13</v>
      </c>
      <c r="F864" s="6">
        <v>45221</v>
      </c>
      <c r="G864" s="2">
        <v>120</v>
      </c>
      <c r="H864" s="9">
        <v>4.7</v>
      </c>
      <c r="I864">
        <f>ROUND(calls[[#This Row],[Satisfaction Rating]],0)</f>
        <v>5</v>
      </c>
      <c r="J864" t="str">
        <f>TEXT(calls[[#This Row],[Date of Call]],"DDDD")</f>
        <v>Sunday</v>
      </c>
    </row>
    <row r="865" spans="2:10" x14ac:dyDescent="0.25">
      <c r="B865" s="8" t="s">
        <v>887</v>
      </c>
      <c r="C865" s="2" t="s">
        <v>12</v>
      </c>
      <c r="D865" s="2">
        <v>81</v>
      </c>
      <c r="E865" s="3" t="s">
        <v>9</v>
      </c>
      <c r="F865" s="6">
        <v>45221</v>
      </c>
      <c r="G865" s="2">
        <v>117</v>
      </c>
      <c r="H865" s="9">
        <v>3.6</v>
      </c>
      <c r="I865">
        <f>ROUND(calls[[#This Row],[Satisfaction Rating]],0)</f>
        <v>4</v>
      </c>
      <c r="J865" t="str">
        <f>TEXT(calls[[#This Row],[Date of Call]],"DDDD")</f>
        <v>Sunday</v>
      </c>
    </row>
    <row r="866" spans="2:10" x14ac:dyDescent="0.25">
      <c r="B866" s="8" t="s">
        <v>888</v>
      </c>
      <c r="C866" s="2" t="s">
        <v>5</v>
      </c>
      <c r="D866" s="2">
        <v>76</v>
      </c>
      <c r="E866" s="3" t="s">
        <v>6</v>
      </c>
      <c r="F866" s="6">
        <v>45221</v>
      </c>
      <c r="G866" s="2">
        <v>80</v>
      </c>
      <c r="H866" s="9">
        <v>4.5</v>
      </c>
      <c r="I866">
        <f>ROUND(calls[[#This Row],[Satisfaction Rating]],0)</f>
        <v>5</v>
      </c>
      <c r="J866" t="str">
        <f>TEXT(calls[[#This Row],[Date of Call]],"DDDD")</f>
        <v>Sunday</v>
      </c>
    </row>
    <row r="867" spans="2:10" x14ac:dyDescent="0.25">
      <c r="B867" s="8" t="s">
        <v>889</v>
      </c>
      <c r="C867" s="2" t="s">
        <v>5</v>
      </c>
      <c r="D867" s="2">
        <v>37</v>
      </c>
      <c r="E867" s="3" t="s">
        <v>10</v>
      </c>
      <c r="F867" s="6">
        <v>45222</v>
      </c>
      <c r="G867" s="2">
        <v>117</v>
      </c>
      <c r="H867" s="9">
        <v>4</v>
      </c>
      <c r="I867">
        <f>ROUND(calls[[#This Row],[Satisfaction Rating]],0)</f>
        <v>4</v>
      </c>
      <c r="J867" t="str">
        <f>TEXT(calls[[#This Row],[Date of Call]],"DDDD")</f>
        <v>Monday</v>
      </c>
    </row>
    <row r="868" spans="2:10" x14ac:dyDescent="0.25">
      <c r="B868" s="8" t="s">
        <v>890</v>
      </c>
      <c r="C868" s="2" t="s">
        <v>24</v>
      </c>
      <c r="D868" s="2">
        <v>96</v>
      </c>
      <c r="E868" s="3" t="s">
        <v>13</v>
      </c>
      <c r="F868" s="6">
        <v>45222</v>
      </c>
      <c r="G868" s="2">
        <v>60</v>
      </c>
      <c r="H868" s="9">
        <v>4.5</v>
      </c>
      <c r="I868">
        <f>ROUND(calls[[#This Row],[Satisfaction Rating]],0)</f>
        <v>5</v>
      </c>
      <c r="J868" t="str">
        <f>TEXT(calls[[#This Row],[Date of Call]],"DDDD")</f>
        <v>Monday</v>
      </c>
    </row>
    <row r="869" spans="2:10" x14ac:dyDescent="0.25">
      <c r="B869" s="8" t="s">
        <v>891</v>
      </c>
      <c r="C869" s="2" t="s">
        <v>8</v>
      </c>
      <c r="D869" s="2">
        <v>19</v>
      </c>
      <c r="E869" s="3" t="s">
        <v>6</v>
      </c>
      <c r="F869" s="6">
        <v>45223</v>
      </c>
      <c r="G869" s="2">
        <v>58</v>
      </c>
      <c r="H869" s="9">
        <v>3.9</v>
      </c>
      <c r="I869">
        <f>ROUND(calls[[#This Row],[Satisfaction Rating]],0)</f>
        <v>4</v>
      </c>
      <c r="J869" t="str">
        <f>TEXT(calls[[#This Row],[Date of Call]],"DDDD")</f>
        <v>Tuesday</v>
      </c>
    </row>
    <row r="870" spans="2:10" x14ac:dyDescent="0.25">
      <c r="B870" s="8" t="s">
        <v>892</v>
      </c>
      <c r="C870" s="2" t="s">
        <v>16</v>
      </c>
      <c r="D870" s="2">
        <v>72</v>
      </c>
      <c r="E870" s="3" t="s">
        <v>10</v>
      </c>
      <c r="F870" s="6">
        <v>45223</v>
      </c>
      <c r="G870" s="2">
        <v>41</v>
      </c>
      <c r="H870" s="9">
        <v>4.3</v>
      </c>
      <c r="I870">
        <f>ROUND(calls[[#This Row],[Satisfaction Rating]],0)</f>
        <v>4</v>
      </c>
      <c r="J870" t="str">
        <f>TEXT(calls[[#This Row],[Date of Call]],"DDDD")</f>
        <v>Tuesday</v>
      </c>
    </row>
    <row r="871" spans="2:10" x14ac:dyDescent="0.25">
      <c r="B871" s="8" t="s">
        <v>893</v>
      </c>
      <c r="C871" s="2" t="s">
        <v>21</v>
      </c>
      <c r="D871" s="2">
        <v>73</v>
      </c>
      <c r="E871" s="3" t="s">
        <v>9</v>
      </c>
      <c r="F871" s="6">
        <v>45223</v>
      </c>
      <c r="G871" s="2">
        <v>180</v>
      </c>
      <c r="H871" s="9">
        <v>3.6</v>
      </c>
      <c r="I871">
        <f>ROUND(calls[[#This Row],[Satisfaction Rating]],0)</f>
        <v>4</v>
      </c>
      <c r="J871" t="str">
        <f>TEXT(calls[[#This Row],[Date of Call]],"DDDD")</f>
        <v>Tuesday</v>
      </c>
    </row>
    <row r="872" spans="2:10" x14ac:dyDescent="0.25">
      <c r="B872" s="8" t="s">
        <v>894</v>
      </c>
      <c r="C872" s="2" t="s">
        <v>17</v>
      </c>
      <c r="D872" s="2">
        <v>87</v>
      </c>
      <c r="E872" s="3" t="s">
        <v>9</v>
      </c>
      <c r="F872" s="6">
        <v>45223</v>
      </c>
      <c r="G872" s="2">
        <v>42</v>
      </c>
      <c r="H872" s="9">
        <v>3.6</v>
      </c>
      <c r="I872">
        <f>ROUND(calls[[#This Row],[Satisfaction Rating]],0)</f>
        <v>4</v>
      </c>
      <c r="J872" t="str">
        <f>TEXT(calls[[#This Row],[Date of Call]],"DDDD")</f>
        <v>Tuesday</v>
      </c>
    </row>
    <row r="873" spans="2:10" x14ac:dyDescent="0.25">
      <c r="B873" s="8" t="s">
        <v>895</v>
      </c>
      <c r="C873" s="2" t="s">
        <v>17</v>
      </c>
      <c r="D873" s="2">
        <v>68</v>
      </c>
      <c r="E873" s="3" t="s">
        <v>9</v>
      </c>
      <c r="F873" s="6">
        <v>45224</v>
      </c>
      <c r="G873" s="2">
        <v>24</v>
      </c>
      <c r="H873" s="9">
        <v>4</v>
      </c>
      <c r="I873">
        <f>ROUND(calls[[#This Row],[Satisfaction Rating]],0)</f>
        <v>4</v>
      </c>
      <c r="J873" t="str">
        <f>TEXT(calls[[#This Row],[Date of Call]],"DDDD")</f>
        <v>Wednesday</v>
      </c>
    </row>
    <row r="874" spans="2:10" x14ac:dyDescent="0.25">
      <c r="B874" s="8" t="s">
        <v>896</v>
      </c>
      <c r="C874" s="2" t="s">
        <v>16</v>
      </c>
      <c r="D874" s="2">
        <v>101</v>
      </c>
      <c r="E874" s="3" t="s">
        <v>9</v>
      </c>
      <c r="F874" s="6">
        <v>45224</v>
      </c>
      <c r="G874" s="2">
        <v>125</v>
      </c>
      <c r="H874" s="9">
        <v>4.2</v>
      </c>
      <c r="I874">
        <f>ROUND(calls[[#This Row],[Satisfaction Rating]],0)</f>
        <v>4</v>
      </c>
      <c r="J874" t="str">
        <f>TEXT(calls[[#This Row],[Date of Call]],"DDDD")</f>
        <v>Wednesday</v>
      </c>
    </row>
    <row r="875" spans="2:10" x14ac:dyDescent="0.25">
      <c r="B875" s="8" t="s">
        <v>897</v>
      </c>
      <c r="C875" s="2" t="s">
        <v>16</v>
      </c>
      <c r="D875" s="2">
        <v>107</v>
      </c>
      <c r="E875" s="3" t="s">
        <v>10</v>
      </c>
      <c r="F875" s="6">
        <v>45225</v>
      </c>
      <c r="G875" s="2">
        <v>78</v>
      </c>
      <c r="H875" s="9">
        <v>4.3</v>
      </c>
      <c r="I875">
        <f>ROUND(calls[[#This Row],[Satisfaction Rating]],0)</f>
        <v>4</v>
      </c>
      <c r="J875" t="str">
        <f>TEXT(calls[[#This Row],[Date of Call]],"DDDD")</f>
        <v>Thursday</v>
      </c>
    </row>
    <row r="876" spans="2:10" x14ac:dyDescent="0.25">
      <c r="B876" s="8" t="s">
        <v>898</v>
      </c>
      <c r="C876" s="2" t="s">
        <v>22</v>
      </c>
      <c r="D876" s="2">
        <v>109</v>
      </c>
      <c r="E876" s="3" t="s">
        <v>11</v>
      </c>
      <c r="F876" s="6">
        <v>45225</v>
      </c>
      <c r="G876" s="2">
        <v>180</v>
      </c>
      <c r="H876" s="9">
        <v>3.8</v>
      </c>
      <c r="I876">
        <f>ROUND(calls[[#This Row],[Satisfaction Rating]],0)</f>
        <v>4</v>
      </c>
      <c r="J876" t="str">
        <f>TEXT(calls[[#This Row],[Date of Call]],"DDDD")</f>
        <v>Thursday</v>
      </c>
    </row>
    <row r="877" spans="2:10" x14ac:dyDescent="0.25">
      <c r="B877" s="8" t="s">
        <v>899</v>
      </c>
      <c r="C877" s="2" t="s">
        <v>14</v>
      </c>
      <c r="D877" s="2">
        <v>171</v>
      </c>
      <c r="E877" s="3" t="s">
        <v>10</v>
      </c>
      <c r="F877" s="6">
        <v>45225</v>
      </c>
      <c r="G877" s="2">
        <v>84</v>
      </c>
      <c r="H877" s="9">
        <v>4.4000000000000004</v>
      </c>
      <c r="I877">
        <f>ROUND(calls[[#This Row],[Satisfaction Rating]],0)</f>
        <v>4</v>
      </c>
      <c r="J877" t="str">
        <f>TEXT(calls[[#This Row],[Date of Call]],"DDDD")</f>
        <v>Thursday</v>
      </c>
    </row>
    <row r="878" spans="2:10" x14ac:dyDescent="0.25">
      <c r="B878" s="8" t="s">
        <v>900</v>
      </c>
      <c r="C878" s="2" t="s">
        <v>8</v>
      </c>
      <c r="D878" s="2">
        <v>21</v>
      </c>
      <c r="E878" s="3" t="s">
        <v>10</v>
      </c>
      <c r="F878" s="6">
        <v>45225</v>
      </c>
      <c r="G878" s="2">
        <v>26</v>
      </c>
      <c r="H878" s="9">
        <v>4.7</v>
      </c>
      <c r="I878">
        <f>ROUND(calls[[#This Row],[Satisfaction Rating]],0)</f>
        <v>5</v>
      </c>
      <c r="J878" t="str">
        <f>TEXT(calls[[#This Row],[Date of Call]],"DDDD")</f>
        <v>Thursday</v>
      </c>
    </row>
    <row r="879" spans="2:10" x14ac:dyDescent="0.25">
      <c r="B879" s="8" t="s">
        <v>901</v>
      </c>
      <c r="C879" s="2" t="s">
        <v>12</v>
      </c>
      <c r="D879" s="2">
        <v>94</v>
      </c>
      <c r="E879" s="3" t="s">
        <v>10</v>
      </c>
      <c r="F879" s="6">
        <v>45226</v>
      </c>
      <c r="G879" s="2">
        <v>140</v>
      </c>
      <c r="H879" s="9">
        <v>3.6</v>
      </c>
      <c r="I879">
        <f>ROUND(calls[[#This Row],[Satisfaction Rating]],0)</f>
        <v>4</v>
      </c>
      <c r="J879" t="str">
        <f>TEXT(calls[[#This Row],[Date of Call]],"DDDD")</f>
        <v>Friday</v>
      </c>
    </row>
    <row r="880" spans="2:10" x14ac:dyDescent="0.25">
      <c r="B880" s="8" t="s">
        <v>902</v>
      </c>
      <c r="C880" s="2" t="s">
        <v>21</v>
      </c>
      <c r="D880" s="2">
        <v>97</v>
      </c>
      <c r="E880" s="3" t="s">
        <v>11</v>
      </c>
      <c r="F880" s="6">
        <v>45226</v>
      </c>
      <c r="G880" s="2">
        <v>31</v>
      </c>
      <c r="H880" s="9">
        <v>2.2000000000000002</v>
      </c>
      <c r="I880">
        <f>ROUND(calls[[#This Row],[Satisfaction Rating]],0)</f>
        <v>2</v>
      </c>
      <c r="J880" t="str">
        <f>TEXT(calls[[#This Row],[Date of Call]],"DDDD")</f>
        <v>Friday</v>
      </c>
    </row>
    <row r="881" spans="2:10" x14ac:dyDescent="0.25">
      <c r="B881" s="8" t="s">
        <v>903</v>
      </c>
      <c r="C881" s="2" t="s">
        <v>24</v>
      </c>
      <c r="D881" s="2">
        <v>72</v>
      </c>
      <c r="E881" s="3" t="s">
        <v>11</v>
      </c>
      <c r="F881" s="6">
        <v>45226</v>
      </c>
      <c r="G881" s="2">
        <v>108</v>
      </c>
      <c r="H881" s="9">
        <v>4.8</v>
      </c>
      <c r="I881">
        <f>ROUND(calls[[#This Row],[Satisfaction Rating]],0)</f>
        <v>5</v>
      </c>
      <c r="J881" t="str">
        <f>TEXT(calls[[#This Row],[Date of Call]],"DDDD")</f>
        <v>Friday</v>
      </c>
    </row>
    <row r="882" spans="2:10" x14ac:dyDescent="0.25">
      <c r="B882" s="8" t="s">
        <v>904</v>
      </c>
      <c r="C882" s="2" t="s">
        <v>14</v>
      </c>
      <c r="D882" s="2">
        <v>143</v>
      </c>
      <c r="E882" s="3" t="s">
        <v>13</v>
      </c>
      <c r="F882" s="6">
        <v>45227</v>
      </c>
      <c r="G882" s="2">
        <v>58</v>
      </c>
      <c r="H882" s="9">
        <v>4.3</v>
      </c>
      <c r="I882">
        <f>ROUND(calls[[#This Row],[Satisfaction Rating]],0)</f>
        <v>4</v>
      </c>
      <c r="J882" t="str">
        <f>TEXT(calls[[#This Row],[Date of Call]],"DDDD")</f>
        <v>Saturday</v>
      </c>
    </row>
    <row r="883" spans="2:10" x14ac:dyDescent="0.25">
      <c r="B883" s="8" t="s">
        <v>905</v>
      </c>
      <c r="C883" s="2" t="s">
        <v>14</v>
      </c>
      <c r="D883" s="2">
        <v>64</v>
      </c>
      <c r="E883" s="3" t="s">
        <v>11</v>
      </c>
      <c r="F883" s="6">
        <v>45227</v>
      </c>
      <c r="G883" s="2">
        <v>185</v>
      </c>
      <c r="H883" s="9">
        <v>2.2000000000000002</v>
      </c>
      <c r="I883">
        <f>ROUND(calls[[#This Row],[Satisfaction Rating]],0)</f>
        <v>2</v>
      </c>
      <c r="J883" t="str">
        <f>TEXT(calls[[#This Row],[Date of Call]],"DDDD")</f>
        <v>Saturday</v>
      </c>
    </row>
    <row r="884" spans="2:10" x14ac:dyDescent="0.25">
      <c r="B884" s="8" t="s">
        <v>906</v>
      </c>
      <c r="C884" s="2" t="s">
        <v>14</v>
      </c>
      <c r="D884" s="2">
        <v>69</v>
      </c>
      <c r="E884" s="3" t="s">
        <v>11</v>
      </c>
      <c r="F884" s="6">
        <v>45227</v>
      </c>
      <c r="G884" s="2">
        <v>40</v>
      </c>
      <c r="H884" s="9">
        <v>4.8</v>
      </c>
      <c r="I884">
        <f>ROUND(calls[[#This Row],[Satisfaction Rating]],0)</f>
        <v>5</v>
      </c>
      <c r="J884" t="str">
        <f>TEXT(calls[[#This Row],[Date of Call]],"DDDD")</f>
        <v>Saturday</v>
      </c>
    </row>
    <row r="885" spans="2:10" x14ac:dyDescent="0.25">
      <c r="B885" s="8" t="s">
        <v>907</v>
      </c>
      <c r="C885" s="2" t="s">
        <v>14</v>
      </c>
      <c r="D885" s="2">
        <v>18</v>
      </c>
      <c r="E885" s="3" t="s">
        <v>6</v>
      </c>
      <c r="F885" s="6">
        <v>45227</v>
      </c>
      <c r="G885" s="2">
        <v>225</v>
      </c>
      <c r="H885" s="9">
        <v>2.6</v>
      </c>
      <c r="I885">
        <f>ROUND(calls[[#This Row],[Satisfaction Rating]],0)</f>
        <v>3</v>
      </c>
      <c r="J885" t="str">
        <f>TEXT(calls[[#This Row],[Date of Call]],"DDDD")</f>
        <v>Saturday</v>
      </c>
    </row>
    <row r="886" spans="2:10" x14ac:dyDescent="0.25">
      <c r="B886" s="8" t="s">
        <v>908</v>
      </c>
      <c r="C886" s="2" t="s">
        <v>21</v>
      </c>
      <c r="D886" s="2">
        <v>100</v>
      </c>
      <c r="E886" s="3" t="s">
        <v>13</v>
      </c>
      <c r="F886" s="6">
        <v>45227</v>
      </c>
      <c r="G886" s="2">
        <v>150</v>
      </c>
      <c r="H886" s="9">
        <v>2.6</v>
      </c>
      <c r="I886">
        <f>ROUND(calls[[#This Row],[Satisfaction Rating]],0)</f>
        <v>3</v>
      </c>
      <c r="J886" t="str">
        <f>TEXT(calls[[#This Row],[Date of Call]],"DDDD")</f>
        <v>Saturday</v>
      </c>
    </row>
    <row r="887" spans="2:10" x14ac:dyDescent="0.25">
      <c r="B887" s="8" t="s">
        <v>909</v>
      </c>
      <c r="C887" s="2" t="s">
        <v>18</v>
      </c>
      <c r="D887" s="2">
        <v>110</v>
      </c>
      <c r="E887" s="3" t="s">
        <v>9</v>
      </c>
      <c r="F887" s="6">
        <v>45228</v>
      </c>
      <c r="G887" s="2">
        <v>88</v>
      </c>
      <c r="H887" s="9">
        <v>3.4</v>
      </c>
      <c r="I887">
        <f>ROUND(calls[[#This Row],[Satisfaction Rating]],0)</f>
        <v>3</v>
      </c>
      <c r="J887" t="str">
        <f>TEXT(calls[[#This Row],[Date of Call]],"DDDD")</f>
        <v>Sunday</v>
      </c>
    </row>
    <row r="888" spans="2:10" x14ac:dyDescent="0.25">
      <c r="B888" s="8" t="s">
        <v>910</v>
      </c>
      <c r="C888" s="2" t="s">
        <v>7</v>
      </c>
      <c r="D888" s="2">
        <v>41</v>
      </c>
      <c r="E888" s="3" t="s">
        <v>10</v>
      </c>
      <c r="F888" s="6">
        <v>45228</v>
      </c>
      <c r="G888" s="2">
        <v>140</v>
      </c>
      <c r="H888" s="9">
        <v>3.7</v>
      </c>
      <c r="I888">
        <f>ROUND(calls[[#This Row],[Satisfaction Rating]],0)</f>
        <v>4</v>
      </c>
      <c r="J888" t="str">
        <f>TEXT(calls[[#This Row],[Date of Call]],"DDDD")</f>
        <v>Sunday</v>
      </c>
    </row>
    <row r="889" spans="2:10" x14ac:dyDescent="0.25">
      <c r="B889" s="8" t="s">
        <v>911</v>
      </c>
      <c r="C889" s="2" t="s">
        <v>18</v>
      </c>
      <c r="D889" s="2">
        <v>147</v>
      </c>
      <c r="E889" s="3" t="s">
        <v>9</v>
      </c>
      <c r="F889" s="6">
        <v>45228</v>
      </c>
      <c r="G889" s="2">
        <v>68</v>
      </c>
      <c r="H889" s="9">
        <v>2.1</v>
      </c>
      <c r="I889">
        <f>ROUND(calls[[#This Row],[Satisfaction Rating]],0)</f>
        <v>2</v>
      </c>
      <c r="J889" t="str">
        <f>TEXT(calls[[#This Row],[Date of Call]],"DDDD")</f>
        <v>Sunday</v>
      </c>
    </row>
    <row r="890" spans="2:10" x14ac:dyDescent="0.25">
      <c r="B890" s="8" t="s">
        <v>912</v>
      </c>
      <c r="C890" s="2" t="s">
        <v>12</v>
      </c>
      <c r="D890" s="2">
        <v>31</v>
      </c>
      <c r="E890" s="3" t="s">
        <v>6</v>
      </c>
      <c r="F890" s="6">
        <v>45229</v>
      </c>
      <c r="G890" s="2">
        <v>105</v>
      </c>
      <c r="H890" s="9">
        <v>3.6</v>
      </c>
      <c r="I890">
        <f>ROUND(calls[[#This Row],[Satisfaction Rating]],0)</f>
        <v>4</v>
      </c>
      <c r="J890" t="str">
        <f>TEXT(calls[[#This Row],[Date of Call]],"DDDD")</f>
        <v>Monday</v>
      </c>
    </row>
    <row r="891" spans="2:10" x14ac:dyDescent="0.25">
      <c r="B891" s="8" t="s">
        <v>913</v>
      </c>
      <c r="C891" s="2" t="s">
        <v>17</v>
      </c>
      <c r="D891" s="2">
        <v>142</v>
      </c>
      <c r="E891" s="3" t="s">
        <v>10</v>
      </c>
      <c r="F891" s="6">
        <v>45229</v>
      </c>
      <c r="G891" s="2">
        <v>40</v>
      </c>
      <c r="H891" s="9">
        <v>3.8</v>
      </c>
      <c r="I891">
        <f>ROUND(calls[[#This Row],[Satisfaction Rating]],0)</f>
        <v>4</v>
      </c>
      <c r="J891" t="str">
        <f>TEXT(calls[[#This Row],[Date of Call]],"DDDD")</f>
        <v>Monday</v>
      </c>
    </row>
    <row r="892" spans="2:10" x14ac:dyDescent="0.25">
      <c r="B892" s="8" t="s">
        <v>914</v>
      </c>
      <c r="C892" s="2" t="s">
        <v>22</v>
      </c>
      <c r="D892" s="2">
        <v>61</v>
      </c>
      <c r="E892" s="3" t="s">
        <v>10</v>
      </c>
      <c r="F892" s="6">
        <v>45229</v>
      </c>
      <c r="G892" s="2">
        <v>82</v>
      </c>
      <c r="H892" s="9">
        <v>3.1</v>
      </c>
      <c r="I892">
        <f>ROUND(calls[[#This Row],[Satisfaction Rating]],0)</f>
        <v>3</v>
      </c>
      <c r="J892" t="str">
        <f>TEXT(calls[[#This Row],[Date of Call]],"DDDD")</f>
        <v>Monday</v>
      </c>
    </row>
    <row r="893" spans="2:10" x14ac:dyDescent="0.25">
      <c r="B893" s="8" t="s">
        <v>915</v>
      </c>
      <c r="C893" s="2" t="s">
        <v>20</v>
      </c>
      <c r="D893" s="2">
        <v>86</v>
      </c>
      <c r="E893" s="3" t="s">
        <v>6</v>
      </c>
      <c r="F893" s="6">
        <v>45230</v>
      </c>
      <c r="G893" s="2">
        <v>90</v>
      </c>
      <c r="H893" s="9">
        <v>4.4000000000000004</v>
      </c>
      <c r="I893">
        <f>ROUND(calls[[#This Row],[Satisfaction Rating]],0)</f>
        <v>4</v>
      </c>
      <c r="J893" t="str">
        <f>TEXT(calls[[#This Row],[Date of Call]],"DDDD")</f>
        <v>Tuesday</v>
      </c>
    </row>
    <row r="894" spans="2:10" x14ac:dyDescent="0.25">
      <c r="B894" s="8" t="s">
        <v>916</v>
      </c>
      <c r="C894" s="2" t="s">
        <v>23</v>
      </c>
      <c r="D894" s="2">
        <v>165</v>
      </c>
      <c r="E894" s="3" t="s">
        <v>13</v>
      </c>
      <c r="F894" s="6">
        <v>45231</v>
      </c>
      <c r="G894" s="2">
        <v>66</v>
      </c>
      <c r="H894" s="9">
        <v>4.8</v>
      </c>
      <c r="I894">
        <f>ROUND(calls[[#This Row],[Satisfaction Rating]],0)</f>
        <v>5</v>
      </c>
      <c r="J894" t="str">
        <f>TEXT(calls[[#This Row],[Date of Call]],"DDDD")</f>
        <v>Wednesday</v>
      </c>
    </row>
    <row r="895" spans="2:10" x14ac:dyDescent="0.25">
      <c r="B895" s="8" t="s">
        <v>917</v>
      </c>
      <c r="C895" s="2" t="s">
        <v>5</v>
      </c>
      <c r="D895" s="2">
        <v>62</v>
      </c>
      <c r="E895" s="3" t="s">
        <v>9</v>
      </c>
      <c r="F895" s="6">
        <v>45231</v>
      </c>
      <c r="G895" s="2">
        <v>78</v>
      </c>
      <c r="H895" s="9">
        <v>3.5</v>
      </c>
      <c r="I895">
        <f>ROUND(calls[[#This Row],[Satisfaction Rating]],0)</f>
        <v>4</v>
      </c>
      <c r="J895" t="str">
        <f>TEXT(calls[[#This Row],[Date of Call]],"DDDD")</f>
        <v>Wednesday</v>
      </c>
    </row>
    <row r="896" spans="2:10" x14ac:dyDescent="0.25">
      <c r="B896" s="8" t="s">
        <v>918</v>
      </c>
      <c r="C896" s="2" t="s">
        <v>21</v>
      </c>
      <c r="D896" s="2">
        <v>103</v>
      </c>
      <c r="E896" s="3" t="s">
        <v>13</v>
      </c>
      <c r="F896" s="6">
        <v>45232</v>
      </c>
      <c r="G896" s="2">
        <v>66</v>
      </c>
      <c r="H896" s="9">
        <v>4.4000000000000004</v>
      </c>
      <c r="I896">
        <f>ROUND(calls[[#This Row],[Satisfaction Rating]],0)</f>
        <v>4</v>
      </c>
      <c r="J896" t="str">
        <f>TEXT(calls[[#This Row],[Date of Call]],"DDDD")</f>
        <v>Thursday</v>
      </c>
    </row>
    <row r="897" spans="2:10" x14ac:dyDescent="0.25">
      <c r="B897" s="8" t="s">
        <v>919</v>
      </c>
      <c r="C897" s="2" t="s">
        <v>17</v>
      </c>
      <c r="D897" s="2">
        <v>56</v>
      </c>
      <c r="E897" s="3" t="s">
        <v>6</v>
      </c>
      <c r="F897" s="6">
        <v>45233</v>
      </c>
      <c r="G897" s="2">
        <v>160</v>
      </c>
      <c r="H897" s="9">
        <v>3.8</v>
      </c>
      <c r="I897">
        <f>ROUND(calls[[#This Row],[Satisfaction Rating]],0)</f>
        <v>4</v>
      </c>
      <c r="J897" t="str">
        <f>TEXT(calls[[#This Row],[Date of Call]],"DDDD")</f>
        <v>Friday</v>
      </c>
    </row>
    <row r="898" spans="2:10" x14ac:dyDescent="0.25">
      <c r="B898" s="8" t="s">
        <v>920</v>
      </c>
      <c r="C898" s="2" t="s">
        <v>16</v>
      </c>
      <c r="D898" s="2">
        <v>114</v>
      </c>
      <c r="E898" s="3" t="s">
        <v>10</v>
      </c>
      <c r="F898" s="6">
        <v>45234</v>
      </c>
      <c r="G898" s="2">
        <v>144</v>
      </c>
      <c r="H898" s="9">
        <v>3.8</v>
      </c>
      <c r="I898">
        <f>ROUND(calls[[#This Row],[Satisfaction Rating]],0)</f>
        <v>4</v>
      </c>
      <c r="J898" t="str">
        <f>TEXT(calls[[#This Row],[Date of Call]],"DDDD")</f>
        <v>Saturday</v>
      </c>
    </row>
    <row r="899" spans="2:10" x14ac:dyDescent="0.25">
      <c r="B899" s="8" t="s">
        <v>921</v>
      </c>
      <c r="C899" s="2" t="s">
        <v>17</v>
      </c>
      <c r="D899" s="2">
        <v>112</v>
      </c>
      <c r="E899" s="3" t="s">
        <v>11</v>
      </c>
      <c r="F899" s="6">
        <v>45234</v>
      </c>
      <c r="G899" s="2">
        <v>200</v>
      </c>
      <c r="H899" s="9">
        <v>4.5999999999999996</v>
      </c>
      <c r="I899">
        <f>ROUND(calls[[#This Row],[Satisfaction Rating]],0)</f>
        <v>5</v>
      </c>
      <c r="J899" t="str">
        <f>TEXT(calls[[#This Row],[Date of Call]],"DDDD")</f>
        <v>Saturday</v>
      </c>
    </row>
    <row r="900" spans="2:10" x14ac:dyDescent="0.25">
      <c r="B900" s="8" t="s">
        <v>922</v>
      </c>
      <c r="C900" s="2" t="s">
        <v>15</v>
      </c>
      <c r="D900" s="2">
        <v>52</v>
      </c>
      <c r="E900" s="3" t="s">
        <v>9</v>
      </c>
      <c r="F900" s="6">
        <v>45236</v>
      </c>
      <c r="G900" s="2">
        <v>220</v>
      </c>
      <c r="H900" s="9">
        <v>5</v>
      </c>
      <c r="I900">
        <f>ROUND(calls[[#This Row],[Satisfaction Rating]],0)</f>
        <v>5</v>
      </c>
      <c r="J900" t="str">
        <f>TEXT(calls[[#This Row],[Date of Call]],"DDDD")</f>
        <v>Monday</v>
      </c>
    </row>
    <row r="901" spans="2:10" x14ac:dyDescent="0.25">
      <c r="B901" s="8" t="s">
        <v>923</v>
      </c>
      <c r="C901" s="2" t="s">
        <v>21</v>
      </c>
      <c r="D901" s="2">
        <v>105</v>
      </c>
      <c r="E901" s="3" t="s">
        <v>13</v>
      </c>
      <c r="F901" s="6">
        <v>45237</v>
      </c>
      <c r="G901" s="2">
        <v>112</v>
      </c>
      <c r="H901" s="9">
        <v>3.2</v>
      </c>
      <c r="I901">
        <f>ROUND(calls[[#This Row],[Satisfaction Rating]],0)</f>
        <v>3</v>
      </c>
      <c r="J901" t="str">
        <f>TEXT(calls[[#This Row],[Date of Call]],"DDDD")</f>
        <v>Tuesday</v>
      </c>
    </row>
    <row r="902" spans="2:10" x14ac:dyDescent="0.25">
      <c r="B902" s="8" t="s">
        <v>924</v>
      </c>
      <c r="C902" s="2" t="s">
        <v>23</v>
      </c>
      <c r="D902" s="2">
        <v>91</v>
      </c>
      <c r="E902" s="3" t="s">
        <v>6</v>
      </c>
      <c r="F902" s="6">
        <v>45237</v>
      </c>
      <c r="G902" s="2">
        <v>110</v>
      </c>
      <c r="H902" s="9">
        <v>3.7</v>
      </c>
      <c r="I902">
        <f>ROUND(calls[[#This Row],[Satisfaction Rating]],0)</f>
        <v>4</v>
      </c>
      <c r="J902" t="str">
        <f>TEXT(calls[[#This Row],[Date of Call]],"DDDD")</f>
        <v>Tuesday</v>
      </c>
    </row>
    <row r="903" spans="2:10" x14ac:dyDescent="0.25">
      <c r="B903" s="8" t="s">
        <v>925</v>
      </c>
      <c r="C903" s="2" t="s">
        <v>19</v>
      </c>
      <c r="D903" s="2">
        <v>74</v>
      </c>
      <c r="E903" s="3" t="s">
        <v>10</v>
      </c>
      <c r="F903" s="6">
        <v>45238</v>
      </c>
      <c r="G903" s="2">
        <v>160</v>
      </c>
      <c r="H903" s="9">
        <v>2.7</v>
      </c>
      <c r="I903">
        <f>ROUND(calls[[#This Row],[Satisfaction Rating]],0)</f>
        <v>3</v>
      </c>
      <c r="J903" t="str">
        <f>TEXT(calls[[#This Row],[Date of Call]],"DDDD")</f>
        <v>Wednesday</v>
      </c>
    </row>
    <row r="904" spans="2:10" x14ac:dyDescent="0.25">
      <c r="B904" s="8" t="s">
        <v>926</v>
      </c>
      <c r="C904" s="2" t="s">
        <v>19</v>
      </c>
      <c r="D904" s="2">
        <v>30</v>
      </c>
      <c r="E904" s="3" t="s">
        <v>6</v>
      </c>
      <c r="F904" s="6">
        <v>45238</v>
      </c>
      <c r="G904" s="2">
        <v>84</v>
      </c>
      <c r="H904" s="9">
        <v>4</v>
      </c>
      <c r="I904">
        <f>ROUND(calls[[#This Row],[Satisfaction Rating]],0)</f>
        <v>4</v>
      </c>
      <c r="J904" t="str">
        <f>TEXT(calls[[#This Row],[Date of Call]],"DDDD")</f>
        <v>Wednesday</v>
      </c>
    </row>
    <row r="905" spans="2:10" x14ac:dyDescent="0.25">
      <c r="B905" s="8" t="s">
        <v>927</v>
      </c>
      <c r="C905" s="2" t="s">
        <v>23</v>
      </c>
      <c r="D905" s="2">
        <v>56</v>
      </c>
      <c r="E905" s="3" t="s">
        <v>9</v>
      </c>
      <c r="F905" s="6">
        <v>45238</v>
      </c>
      <c r="G905" s="2">
        <v>124</v>
      </c>
      <c r="H905" s="9">
        <v>2.6</v>
      </c>
      <c r="I905">
        <f>ROUND(calls[[#This Row],[Satisfaction Rating]],0)</f>
        <v>3</v>
      </c>
      <c r="J905" t="str">
        <f>TEXT(calls[[#This Row],[Date of Call]],"DDDD")</f>
        <v>Wednesday</v>
      </c>
    </row>
    <row r="906" spans="2:10" x14ac:dyDescent="0.25">
      <c r="B906" s="8" t="s">
        <v>928</v>
      </c>
      <c r="C906" s="2" t="s">
        <v>19</v>
      </c>
      <c r="D906" s="2">
        <v>151</v>
      </c>
      <c r="E906" s="3" t="s">
        <v>11</v>
      </c>
      <c r="F906" s="6">
        <v>45238</v>
      </c>
      <c r="G906" s="2">
        <v>84</v>
      </c>
      <c r="H906" s="9">
        <v>4.5999999999999996</v>
      </c>
      <c r="I906">
        <f>ROUND(calls[[#This Row],[Satisfaction Rating]],0)</f>
        <v>5</v>
      </c>
      <c r="J906" t="str">
        <f>TEXT(calls[[#This Row],[Date of Call]],"DDDD")</f>
        <v>Wednesday</v>
      </c>
    </row>
    <row r="907" spans="2:10" x14ac:dyDescent="0.25">
      <c r="B907" s="8" t="s">
        <v>929</v>
      </c>
      <c r="C907" s="2" t="s">
        <v>12</v>
      </c>
      <c r="D907" s="2">
        <v>108</v>
      </c>
      <c r="E907" s="3" t="s">
        <v>13</v>
      </c>
      <c r="F907" s="6">
        <v>45239</v>
      </c>
      <c r="G907" s="2">
        <v>130</v>
      </c>
      <c r="H907" s="9">
        <v>2.7</v>
      </c>
      <c r="I907">
        <f>ROUND(calls[[#This Row],[Satisfaction Rating]],0)</f>
        <v>3</v>
      </c>
      <c r="J907" t="str">
        <f>TEXT(calls[[#This Row],[Date of Call]],"DDDD")</f>
        <v>Thursday</v>
      </c>
    </row>
    <row r="908" spans="2:10" x14ac:dyDescent="0.25">
      <c r="B908" s="8" t="s">
        <v>930</v>
      </c>
      <c r="C908" s="2" t="s">
        <v>16</v>
      </c>
      <c r="D908" s="2">
        <v>124</v>
      </c>
      <c r="E908" s="3" t="s">
        <v>10</v>
      </c>
      <c r="F908" s="6">
        <v>45239</v>
      </c>
      <c r="G908" s="2">
        <v>215</v>
      </c>
      <c r="H908" s="9">
        <v>3.5</v>
      </c>
      <c r="I908">
        <f>ROUND(calls[[#This Row],[Satisfaction Rating]],0)</f>
        <v>4</v>
      </c>
      <c r="J908" t="str">
        <f>TEXT(calls[[#This Row],[Date of Call]],"DDDD")</f>
        <v>Thursday</v>
      </c>
    </row>
    <row r="909" spans="2:10" x14ac:dyDescent="0.25">
      <c r="B909" s="8" t="s">
        <v>931</v>
      </c>
      <c r="C909" s="2" t="s">
        <v>21</v>
      </c>
      <c r="D909" s="2">
        <v>110</v>
      </c>
      <c r="E909" s="3" t="s">
        <v>9</v>
      </c>
      <c r="F909" s="6">
        <v>45240</v>
      </c>
      <c r="G909" s="2">
        <v>132</v>
      </c>
      <c r="H909" s="9">
        <v>3.6</v>
      </c>
      <c r="I909">
        <f>ROUND(calls[[#This Row],[Satisfaction Rating]],0)</f>
        <v>4</v>
      </c>
      <c r="J909" t="str">
        <f>TEXT(calls[[#This Row],[Date of Call]],"DDDD")</f>
        <v>Friday</v>
      </c>
    </row>
    <row r="910" spans="2:10" x14ac:dyDescent="0.25">
      <c r="B910" s="8" t="s">
        <v>932</v>
      </c>
      <c r="C910" s="2" t="s">
        <v>18</v>
      </c>
      <c r="D910" s="2">
        <v>89</v>
      </c>
      <c r="E910" s="3" t="s">
        <v>13</v>
      </c>
      <c r="F910" s="6">
        <v>45240</v>
      </c>
      <c r="G910" s="2">
        <v>88</v>
      </c>
      <c r="H910" s="9">
        <v>4.9000000000000004</v>
      </c>
      <c r="I910">
        <f>ROUND(calls[[#This Row],[Satisfaction Rating]],0)</f>
        <v>5</v>
      </c>
      <c r="J910" t="str">
        <f>TEXT(calls[[#This Row],[Date of Call]],"DDDD")</f>
        <v>Friday</v>
      </c>
    </row>
    <row r="911" spans="2:10" x14ac:dyDescent="0.25">
      <c r="B911" s="8" t="s">
        <v>933</v>
      </c>
      <c r="C911" s="2" t="s">
        <v>20</v>
      </c>
      <c r="D911" s="2">
        <v>95</v>
      </c>
      <c r="E911" s="3" t="s">
        <v>9</v>
      </c>
      <c r="F911" s="6">
        <v>45240</v>
      </c>
      <c r="G911" s="2">
        <v>140</v>
      </c>
      <c r="H911" s="9">
        <v>3.9</v>
      </c>
      <c r="I911">
        <f>ROUND(calls[[#This Row],[Satisfaction Rating]],0)</f>
        <v>4</v>
      </c>
      <c r="J911" t="str">
        <f>TEXT(calls[[#This Row],[Date of Call]],"DDDD")</f>
        <v>Friday</v>
      </c>
    </row>
    <row r="912" spans="2:10" x14ac:dyDescent="0.25">
      <c r="B912" s="8" t="s">
        <v>934</v>
      </c>
      <c r="C912" s="2" t="s">
        <v>19</v>
      </c>
      <c r="D912" s="2">
        <v>84</v>
      </c>
      <c r="E912" s="3" t="s">
        <v>13</v>
      </c>
      <c r="F912" s="6">
        <v>45241</v>
      </c>
      <c r="G912" s="2">
        <v>66</v>
      </c>
      <c r="H912" s="9">
        <v>4.7</v>
      </c>
      <c r="I912">
        <f>ROUND(calls[[#This Row],[Satisfaction Rating]],0)</f>
        <v>5</v>
      </c>
      <c r="J912" t="str">
        <f>TEXT(calls[[#This Row],[Date of Call]],"DDDD")</f>
        <v>Saturday</v>
      </c>
    </row>
    <row r="913" spans="2:10" x14ac:dyDescent="0.25">
      <c r="B913" s="8" t="s">
        <v>935</v>
      </c>
      <c r="C913" s="2" t="s">
        <v>24</v>
      </c>
      <c r="D913" s="2">
        <v>89</v>
      </c>
      <c r="E913" s="3" t="s">
        <v>10</v>
      </c>
      <c r="F913" s="6">
        <v>45241</v>
      </c>
      <c r="G913" s="2">
        <v>23</v>
      </c>
      <c r="H913" s="9">
        <v>4.5</v>
      </c>
      <c r="I913">
        <f>ROUND(calls[[#This Row],[Satisfaction Rating]],0)</f>
        <v>5</v>
      </c>
      <c r="J913" t="str">
        <f>TEXT(calls[[#This Row],[Date of Call]],"DDDD")</f>
        <v>Saturday</v>
      </c>
    </row>
    <row r="914" spans="2:10" x14ac:dyDescent="0.25">
      <c r="B914" s="8" t="s">
        <v>936</v>
      </c>
      <c r="C914" s="2" t="s">
        <v>18</v>
      </c>
      <c r="D914" s="2">
        <v>146</v>
      </c>
      <c r="E914" s="3" t="s">
        <v>10</v>
      </c>
      <c r="F914" s="6">
        <v>45242</v>
      </c>
      <c r="G914" s="2">
        <v>220</v>
      </c>
      <c r="H914" s="9">
        <v>4.5</v>
      </c>
      <c r="I914">
        <f>ROUND(calls[[#This Row],[Satisfaction Rating]],0)</f>
        <v>5</v>
      </c>
      <c r="J914" t="str">
        <f>TEXT(calls[[#This Row],[Date of Call]],"DDDD")</f>
        <v>Sunday</v>
      </c>
    </row>
    <row r="915" spans="2:10" x14ac:dyDescent="0.25">
      <c r="B915" s="8" t="s">
        <v>937</v>
      </c>
      <c r="C915" s="2" t="s">
        <v>14</v>
      </c>
      <c r="D915" s="2">
        <v>62</v>
      </c>
      <c r="E915" s="3" t="s">
        <v>6</v>
      </c>
      <c r="F915" s="6">
        <v>45243</v>
      </c>
      <c r="G915" s="2">
        <v>175</v>
      </c>
      <c r="H915" s="9">
        <v>4.4000000000000004</v>
      </c>
      <c r="I915">
        <f>ROUND(calls[[#This Row],[Satisfaction Rating]],0)</f>
        <v>4</v>
      </c>
      <c r="J915" t="str">
        <f>TEXT(calls[[#This Row],[Date of Call]],"DDDD")</f>
        <v>Monday</v>
      </c>
    </row>
    <row r="916" spans="2:10" x14ac:dyDescent="0.25">
      <c r="B916" s="8" t="s">
        <v>938</v>
      </c>
      <c r="C916" s="2" t="s">
        <v>17</v>
      </c>
      <c r="D916" s="2">
        <v>82</v>
      </c>
      <c r="E916" s="3" t="s">
        <v>10</v>
      </c>
      <c r="F916" s="6">
        <v>45243</v>
      </c>
      <c r="G916" s="2">
        <v>172</v>
      </c>
      <c r="H916" s="9">
        <v>4.0999999999999996</v>
      </c>
      <c r="I916">
        <f>ROUND(calls[[#This Row],[Satisfaction Rating]],0)</f>
        <v>4</v>
      </c>
      <c r="J916" t="str">
        <f>TEXT(calls[[#This Row],[Date of Call]],"DDDD")</f>
        <v>Monday</v>
      </c>
    </row>
    <row r="917" spans="2:10" x14ac:dyDescent="0.25">
      <c r="B917" s="8" t="s">
        <v>939</v>
      </c>
      <c r="C917" s="2" t="s">
        <v>22</v>
      </c>
      <c r="D917" s="2">
        <v>91</v>
      </c>
      <c r="E917" s="3" t="s">
        <v>11</v>
      </c>
      <c r="F917" s="6">
        <v>45243</v>
      </c>
      <c r="G917" s="2">
        <v>108</v>
      </c>
      <c r="H917" s="9">
        <v>3.8</v>
      </c>
      <c r="I917">
        <f>ROUND(calls[[#This Row],[Satisfaction Rating]],0)</f>
        <v>4</v>
      </c>
      <c r="J917" t="str">
        <f>TEXT(calls[[#This Row],[Date of Call]],"DDDD")</f>
        <v>Monday</v>
      </c>
    </row>
    <row r="918" spans="2:10" x14ac:dyDescent="0.25">
      <c r="B918" s="8" t="s">
        <v>940</v>
      </c>
      <c r="C918" s="2" t="s">
        <v>24</v>
      </c>
      <c r="D918" s="2">
        <v>39</v>
      </c>
      <c r="E918" s="3" t="s">
        <v>10</v>
      </c>
      <c r="F918" s="6">
        <v>45244</v>
      </c>
      <c r="G918" s="2">
        <v>43</v>
      </c>
      <c r="H918" s="9">
        <v>4.2</v>
      </c>
      <c r="I918">
        <f>ROUND(calls[[#This Row],[Satisfaction Rating]],0)</f>
        <v>4</v>
      </c>
      <c r="J918" t="str">
        <f>TEXT(calls[[#This Row],[Date of Call]],"DDDD")</f>
        <v>Tuesday</v>
      </c>
    </row>
    <row r="919" spans="2:10" x14ac:dyDescent="0.25">
      <c r="B919" s="8" t="s">
        <v>941</v>
      </c>
      <c r="C919" s="2" t="s">
        <v>18</v>
      </c>
      <c r="D919" s="2">
        <v>149</v>
      </c>
      <c r="E919" s="3" t="s">
        <v>9</v>
      </c>
      <c r="F919" s="6">
        <v>45244</v>
      </c>
      <c r="G919" s="2">
        <v>44</v>
      </c>
      <c r="H919" s="9">
        <v>2.2000000000000002</v>
      </c>
      <c r="I919">
        <f>ROUND(calls[[#This Row],[Satisfaction Rating]],0)</f>
        <v>2</v>
      </c>
      <c r="J919" t="str">
        <f>TEXT(calls[[#This Row],[Date of Call]],"DDDD")</f>
        <v>Tuesday</v>
      </c>
    </row>
    <row r="920" spans="2:10" x14ac:dyDescent="0.25">
      <c r="B920" s="8" t="s">
        <v>942</v>
      </c>
      <c r="C920" s="2" t="s">
        <v>17</v>
      </c>
      <c r="D920" s="2">
        <v>138</v>
      </c>
      <c r="E920" s="3" t="s">
        <v>6</v>
      </c>
      <c r="F920" s="6">
        <v>45244</v>
      </c>
      <c r="G920" s="2">
        <v>105</v>
      </c>
      <c r="H920" s="9">
        <v>3.9</v>
      </c>
      <c r="I920">
        <f>ROUND(calls[[#This Row],[Satisfaction Rating]],0)</f>
        <v>4</v>
      </c>
      <c r="J920" t="str">
        <f>TEXT(calls[[#This Row],[Date of Call]],"DDDD")</f>
        <v>Tuesday</v>
      </c>
    </row>
    <row r="921" spans="2:10" x14ac:dyDescent="0.25">
      <c r="B921" s="8" t="s">
        <v>943</v>
      </c>
      <c r="C921" s="2" t="s">
        <v>14</v>
      </c>
      <c r="D921" s="2">
        <v>113</v>
      </c>
      <c r="E921" s="3" t="s">
        <v>9</v>
      </c>
      <c r="F921" s="6">
        <v>45245</v>
      </c>
      <c r="G921" s="2">
        <v>34</v>
      </c>
      <c r="H921" s="9">
        <v>3.9</v>
      </c>
      <c r="I921">
        <f>ROUND(calls[[#This Row],[Satisfaction Rating]],0)</f>
        <v>4</v>
      </c>
      <c r="J921" t="str">
        <f>TEXT(calls[[#This Row],[Date of Call]],"DDDD")</f>
        <v>Wednesday</v>
      </c>
    </row>
    <row r="922" spans="2:10" x14ac:dyDescent="0.25">
      <c r="B922" s="8" t="s">
        <v>944</v>
      </c>
      <c r="C922" s="2" t="s">
        <v>8</v>
      </c>
      <c r="D922" s="2">
        <v>88</v>
      </c>
      <c r="E922" s="3" t="s">
        <v>10</v>
      </c>
      <c r="F922" s="6">
        <v>45245</v>
      </c>
      <c r="G922" s="2">
        <v>220</v>
      </c>
      <c r="H922" s="9">
        <v>4.0999999999999996</v>
      </c>
      <c r="I922">
        <f>ROUND(calls[[#This Row],[Satisfaction Rating]],0)</f>
        <v>4</v>
      </c>
      <c r="J922" t="str">
        <f>TEXT(calls[[#This Row],[Date of Call]],"DDDD")</f>
        <v>Wednesday</v>
      </c>
    </row>
    <row r="923" spans="2:10" x14ac:dyDescent="0.25">
      <c r="B923" s="8" t="s">
        <v>945</v>
      </c>
      <c r="C923" s="2" t="s">
        <v>20</v>
      </c>
      <c r="D923" s="2">
        <v>64</v>
      </c>
      <c r="E923" s="3" t="s">
        <v>6</v>
      </c>
      <c r="F923" s="6">
        <v>45245</v>
      </c>
      <c r="G923" s="2">
        <v>225</v>
      </c>
      <c r="H923" s="9">
        <v>4.5999999999999996</v>
      </c>
      <c r="I923">
        <f>ROUND(calls[[#This Row],[Satisfaction Rating]],0)</f>
        <v>5</v>
      </c>
      <c r="J923" t="str">
        <f>TEXT(calls[[#This Row],[Date of Call]],"DDDD")</f>
        <v>Wednesday</v>
      </c>
    </row>
    <row r="924" spans="2:10" x14ac:dyDescent="0.25">
      <c r="B924" s="8" t="s">
        <v>946</v>
      </c>
      <c r="C924" s="2" t="s">
        <v>23</v>
      </c>
      <c r="D924" s="2">
        <v>53</v>
      </c>
      <c r="E924" s="3" t="s">
        <v>6</v>
      </c>
      <c r="F924" s="6">
        <v>45246</v>
      </c>
      <c r="G924" s="2">
        <v>37</v>
      </c>
      <c r="H924" s="9">
        <v>4.0999999999999996</v>
      </c>
      <c r="I924">
        <f>ROUND(calls[[#This Row],[Satisfaction Rating]],0)</f>
        <v>4</v>
      </c>
      <c r="J924" t="str">
        <f>TEXT(calls[[#This Row],[Date of Call]],"DDDD")</f>
        <v>Thursday</v>
      </c>
    </row>
    <row r="925" spans="2:10" x14ac:dyDescent="0.25">
      <c r="B925" s="8" t="s">
        <v>947</v>
      </c>
      <c r="C925" s="2" t="s">
        <v>16</v>
      </c>
      <c r="D925" s="2">
        <v>63</v>
      </c>
      <c r="E925" s="3" t="s">
        <v>9</v>
      </c>
      <c r="F925" s="6">
        <v>45246</v>
      </c>
      <c r="G925" s="2">
        <v>44</v>
      </c>
      <c r="H925" s="9">
        <v>5</v>
      </c>
      <c r="I925">
        <f>ROUND(calls[[#This Row],[Satisfaction Rating]],0)</f>
        <v>5</v>
      </c>
      <c r="J925" t="str">
        <f>TEXT(calls[[#This Row],[Date of Call]],"DDDD")</f>
        <v>Thursday</v>
      </c>
    </row>
    <row r="926" spans="2:10" x14ac:dyDescent="0.25">
      <c r="B926" s="8" t="s">
        <v>948</v>
      </c>
      <c r="C926" s="2" t="s">
        <v>15</v>
      </c>
      <c r="D926" s="2">
        <v>54</v>
      </c>
      <c r="E926" s="3" t="s">
        <v>9</v>
      </c>
      <c r="F926" s="6">
        <v>45247</v>
      </c>
      <c r="G926" s="2">
        <v>35</v>
      </c>
      <c r="H926" s="9">
        <v>2.8</v>
      </c>
      <c r="I926">
        <f>ROUND(calls[[#This Row],[Satisfaction Rating]],0)</f>
        <v>3</v>
      </c>
      <c r="J926" t="str">
        <f>TEXT(calls[[#This Row],[Date of Call]],"DDDD")</f>
        <v>Friday</v>
      </c>
    </row>
    <row r="927" spans="2:10" x14ac:dyDescent="0.25">
      <c r="B927" s="8" t="s">
        <v>949</v>
      </c>
      <c r="C927" s="2" t="s">
        <v>16</v>
      </c>
      <c r="D927" s="2">
        <v>54</v>
      </c>
      <c r="E927" s="3" t="s">
        <v>10</v>
      </c>
      <c r="F927" s="6">
        <v>45247</v>
      </c>
      <c r="G927" s="2">
        <v>145</v>
      </c>
      <c r="H927" s="9">
        <v>2.7</v>
      </c>
      <c r="I927">
        <f>ROUND(calls[[#This Row],[Satisfaction Rating]],0)</f>
        <v>3</v>
      </c>
      <c r="J927" t="str">
        <f>TEXT(calls[[#This Row],[Date of Call]],"DDDD")</f>
        <v>Friday</v>
      </c>
    </row>
    <row r="928" spans="2:10" x14ac:dyDescent="0.25">
      <c r="B928" s="8" t="s">
        <v>950</v>
      </c>
      <c r="C928" s="2" t="s">
        <v>18</v>
      </c>
      <c r="D928" s="2">
        <v>71</v>
      </c>
      <c r="E928" s="3" t="s">
        <v>6</v>
      </c>
      <c r="F928" s="6">
        <v>45247</v>
      </c>
      <c r="G928" s="2">
        <v>64</v>
      </c>
      <c r="H928" s="9">
        <v>3.9</v>
      </c>
      <c r="I928">
        <f>ROUND(calls[[#This Row],[Satisfaction Rating]],0)</f>
        <v>4</v>
      </c>
      <c r="J928" t="str">
        <f>TEXT(calls[[#This Row],[Date of Call]],"DDDD")</f>
        <v>Friday</v>
      </c>
    </row>
    <row r="929" spans="2:10" x14ac:dyDescent="0.25">
      <c r="B929" s="8" t="s">
        <v>951</v>
      </c>
      <c r="C929" s="2" t="s">
        <v>16</v>
      </c>
      <c r="D929" s="2">
        <v>93</v>
      </c>
      <c r="E929" s="3" t="s">
        <v>10</v>
      </c>
      <c r="F929" s="6">
        <v>45248</v>
      </c>
      <c r="G929" s="2">
        <v>185</v>
      </c>
      <c r="H929" s="9">
        <v>4.3</v>
      </c>
      <c r="I929">
        <f>ROUND(calls[[#This Row],[Satisfaction Rating]],0)</f>
        <v>4</v>
      </c>
      <c r="J929" t="str">
        <f>TEXT(calls[[#This Row],[Date of Call]],"DDDD")</f>
        <v>Saturday</v>
      </c>
    </row>
    <row r="930" spans="2:10" x14ac:dyDescent="0.25">
      <c r="B930" s="8" t="s">
        <v>952</v>
      </c>
      <c r="C930" s="2" t="s">
        <v>21</v>
      </c>
      <c r="D930" s="2">
        <v>96</v>
      </c>
      <c r="E930" s="3" t="s">
        <v>9</v>
      </c>
      <c r="F930" s="6">
        <v>45248</v>
      </c>
      <c r="G930" s="2">
        <v>215</v>
      </c>
      <c r="H930" s="9">
        <v>2.5</v>
      </c>
      <c r="I930">
        <f>ROUND(calls[[#This Row],[Satisfaction Rating]],0)</f>
        <v>3</v>
      </c>
      <c r="J930" t="str">
        <f>TEXT(calls[[#This Row],[Date of Call]],"DDDD")</f>
        <v>Saturday</v>
      </c>
    </row>
    <row r="931" spans="2:10" x14ac:dyDescent="0.25">
      <c r="B931" s="8" t="s">
        <v>953</v>
      </c>
      <c r="C931" s="2" t="s">
        <v>24</v>
      </c>
      <c r="D931" s="2">
        <v>31</v>
      </c>
      <c r="E931" s="3" t="s">
        <v>11</v>
      </c>
      <c r="F931" s="6">
        <v>45248</v>
      </c>
      <c r="G931" s="2">
        <v>88</v>
      </c>
      <c r="H931" s="9">
        <v>3.4</v>
      </c>
      <c r="I931">
        <f>ROUND(calls[[#This Row],[Satisfaction Rating]],0)</f>
        <v>3</v>
      </c>
      <c r="J931" t="str">
        <f>TEXT(calls[[#This Row],[Date of Call]],"DDDD")</f>
        <v>Saturday</v>
      </c>
    </row>
    <row r="932" spans="2:10" x14ac:dyDescent="0.25">
      <c r="B932" s="8" t="s">
        <v>954</v>
      </c>
      <c r="C932" s="2" t="s">
        <v>16</v>
      </c>
      <c r="D932" s="2">
        <v>107</v>
      </c>
      <c r="E932" s="3" t="s">
        <v>6</v>
      </c>
      <c r="F932" s="6">
        <v>45248</v>
      </c>
      <c r="G932" s="2">
        <v>23</v>
      </c>
      <c r="H932" s="9">
        <v>3.4</v>
      </c>
      <c r="I932">
        <f>ROUND(calls[[#This Row],[Satisfaction Rating]],0)</f>
        <v>3</v>
      </c>
      <c r="J932" t="str">
        <f>TEXT(calls[[#This Row],[Date of Call]],"DDDD")</f>
        <v>Saturday</v>
      </c>
    </row>
    <row r="933" spans="2:10" x14ac:dyDescent="0.25">
      <c r="B933" s="8" t="s">
        <v>955</v>
      </c>
      <c r="C933" s="2" t="s">
        <v>23</v>
      </c>
      <c r="D933" s="2">
        <v>50</v>
      </c>
      <c r="E933" s="3" t="s">
        <v>11</v>
      </c>
      <c r="F933" s="6">
        <v>45249</v>
      </c>
      <c r="G933" s="2">
        <v>180</v>
      </c>
      <c r="H933" s="9">
        <v>1.8</v>
      </c>
      <c r="I933">
        <f>ROUND(calls[[#This Row],[Satisfaction Rating]],0)</f>
        <v>2</v>
      </c>
      <c r="J933" t="str">
        <f>TEXT(calls[[#This Row],[Date of Call]],"DDDD")</f>
        <v>Sunday</v>
      </c>
    </row>
    <row r="934" spans="2:10" x14ac:dyDescent="0.25">
      <c r="B934" s="8" t="s">
        <v>956</v>
      </c>
      <c r="C934" s="2" t="s">
        <v>17</v>
      </c>
      <c r="D934" s="2">
        <v>69</v>
      </c>
      <c r="E934" s="3" t="s">
        <v>6</v>
      </c>
      <c r="F934" s="6">
        <v>45250</v>
      </c>
      <c r="G934" s="2">
        <v>225</v>
      </c>
      <c r="H934" s="9">
        <v>3.7</v>
      </c>
      <c r="I934">
        <f>ROUND(calls[[#This Row],[Satisfaction Rating]],0)</f>
        <v>4</v>
      </c>
      <c r="J934" t="str">
        <f>TEXT(calls[[#This Row],[Date of Call]],"DDDD")</f>
        <v>Monday</v>
      </c>
    </row>
    <row r="935" spans="2:10" x14ac:dyDescent="0.25">
      <c r="B935" s="8" t="s">
        <v>957</v>
      </c>
      <c r="C935" s="2" t="s">
        <v>8</v>
      </c>
      <c r="D935" s="2">
        <v>26</v>
      </c>
      <c r="E935" s="3" t="s">
        <v>9</v>
      </c>
      <c r="F935" s="6">
        <v>45251</v>
      </c>
      <c r="G935" s="2">
        <v>74</v>
      </c>
      <c r="H935" s="9">
        <v>4.0999999999999996</v>
      </c>
      <c r="I935">
        <f>ROUND(calls[[#This Row],[Satisfaction Rating]],0)</f>
        <v>4</v>
      </c>
      <c r="J935" t="str">
        <f>TEXT(calls[[#This Row],[Date of Call]],"DDDD")</f>
        <v>Tuesday</v>
      </c>
    </row>
    <row r="936" spans="2:10" x14ac:dyDescent="0.25">
      <c r="B936" s="8" t="s">
        <v>958</v>
      </c>
      <c r="C936" s="2" t="s">
        <v>21</v>
      </c>
      <c r="D936" s="2">
        <v>158</v>
      </c>
      <c r="E936" s="3" t="s">
        <v>6</v>
      </c>
      <c r="F936" s="6">
        <v>45251</v>
      </c>
      <c r="G936" s="2">
        <v>36</v>
      </c>
      <c r="H936" s="9">
        <v>3</v>
      </c>
      <c r="I936">
        <f>ROUND(calls[[#This Row],[Satisfaction Rating]],0)</f>
        <v>3</v>
      </c>
      <c r="J936" t="str">
        <f>TEXT(calls[[#This Row],[Date of Call]],"DDDD")</f>
        <v>Tuesday</v>
      </c>
    </row>
    <row r="937" spans="2:10" x14ac:dyDescent="0.25">
      <c r="B937" s="8" t="s">
        <v>959</v>
      </c>
      <c r="C937" s="2" t="s">
        <v>15</v>
      </c>
      <c r="D937" s="2">
        <v>99</v>
      </c>
      <c r="E937" s="3" t="s">
        <v>6</v>
      </c>
      <c r="F937" s="6">
        <v>45253</v>
      </c>
      <c r="G937" s="2">
        <v>116</v>
      </c>
      <c r="H937" s="9">
        <v>3.9</v>
      </c>
      <c r="I937">
        <f>ROUND(calls[[#This Row],[Satisfaction Rating]],0)</f>
        <v>4</v>
      </c>
      <c r="J937" t="str">
        <f>TEXT(calls[[#This Row],[Date of Call]],"DDDD")</f>
        <v>Thursday</v>
      </c>
    </row>
    <row r="938" spans="2:10" x14ac:dyDescent="0.25">
      <c r="B938" s="8" t="s">
        <v>960</v>
      </c>
      <c r="C938" s="2" t="s">
        <v>21</v>
      </c>
      <c r="D938" s="2">
        <v>78</v>
      </c>
      <c r="E938" s="3" t="s">
        <v>11</v>
      </c>
      <c r="F938" s="6">
        <v>45253</v>
      </c>
      <c r="G938" s="2">
        <v>140</v>
      </c>
      <c r="H938" s="9">
        <v>4</v>
      </c>
      <c r="I938">
        <f>ROUND(calls[[#This Row],[Satisfaction Rating]],0)</f>
        <v>4</v>
      </c>
      <c r="J938" t="str">
        <f>TEXT(calls[[#This Row],[Date of Call]],"DDDD")</f>
        <v>Thursday</v>
      </c>
    </row>
    <row r="939" spans="2:10" x14ac:dyDescent="0.25">
      <c r="B939" s="8" t="s">
        <v>961</v>
      </c>
      <c r="C939" s="2" t="s">
        <v>21</v>
      </c>
      <c r="D939" s="2">
        <v>102</v>
      </c>
      <c r="E939" s="3" t="s">
        <v>9</v>
      </c>
      <c r="F939" s="6">
        <v>45254</v>
      </c>
      <c r="G939" s="2">
        <v>104</v>
      </c>
      <c r="H939" s="9">
        <v>4.5</v>
      </c>
      <c r="I939">
        <f>ROUND(calls[[#This Row],[Satisfaction Rating]],0)</f>
        <v>5</v>
      </c>
      <c r="J939" t="str">
        <f>TEXT(calls[[#This Row],[Date of Call]],"DDDD")</f>
        <v>Friday</v>
      </c>
    </row>
    <row r="940" spans="2:10" x14ac:dyDescent="0.25">
      <c r="B940" s="8" t="s">
        <v>962</v>
      </c>
      <c r="C940" s="2" t="s">
        <v>15</v>
      </c>
      <c r="D940" s="2">
        <v>158</v>
      </c>
      <c r="E940" s="3" t="s">
        <v>13</v>
      </c>
      <c r="F940" s="6">
        <v>45254</v>
      </c>
      <c r="G940" s="2">
        <v>148</v>
      </c>
      <c r="H940" s="9">
        <v>4</v>
      </c>
      <c r="I940">
        <f>ROUND(calls[[#This Row],[Satisfaction Rating]],0)</f>
        <v>4</v>
      </c>
      <c r="J940" t="str">
        <f>TEXT(calls[[#This Row],[Date of Call]],"DDDD")</f>
        <v>Friday</v>
      </c>
    </row>
    <row r="941" spans="2:10" x14ac:dyDescent="0.25">
      <c r="B941" s="8" t="s">
        <v>963</v>
      </c>
      <c r="C941" s="2" t="s">
        <v>24</v>
      </c>
      <c r="D941" s="2">
        <v>56</v>
      </c>
      <c r="E941" s="3" t="s">
        <v>6</v>
      </c>
      <c r="F941" s="6">
        <v>45254</v>
      </c>
      <c r="G941" s="2">
        <v>205</v>
      </c>
      <c r="H941" s="9">
        <v>4.3</v>
      </c>
      <c r="I941">
        <f>ROUND(calls[[#This Row],[Satisfaction Rating]],0)</f>
        <v>4</v>
      </c>
      <c r="J941" t="str">
        <f>TEXT(calls[[#This Row],[Date of Call]],"DDDD")</f>
        <v>Friday</v>
      </c>
    </row>
    <row r="942" spans="2:10" x14ac:dyDescent="0.25">
      <c r="B942" s="8" t="s">
        <v>964</v>
      </c>
      <c r="C942" s="2" t="s">
        <v>12</v>
      </c>
      <c r="D942" s="2">
        <v>17</v>
      </c>
      <c r="E942" s="3" t="s">
        <v>10</v>
      </c>
      <c r="F942" s="6">
        <v>45254</v>
      </c>
      <c r="G942" s="2">
        <v>210</v>
      </c>
      <c r="H942" s="9">
        <v>4.8</v>
      </c>
      <c r="I942">
        <f>ROUND(calls[[#This Row],[Satisfaction Rating]],0)</f>
        <v>5</v>
      </c>
      <c r="J942" t="str">
        <f>TEXT(calls[[#This Row],[Date of Call]],"DDDD")</f>
        <v>Friday</v>
      </c>
    </row>
    <row r="943" spans="2:10" x14ac:dyDescent="0.25">
      <c r="B943" s="8" t="s">
        <v>965</v>
      </c>
      <c r="C943" s="2" t="s">
        <v>8</v>
      </c>
      <c r="D943" s="2">
        <v>104</v>
      </c>
      <c r="E943" s="3" t="s">
        <v>13</v>
      </c>
      <c r="F943" s="6">
        <v>45256</v>
      </c>
      <c r="G943" s="2">
        <v>41</v>
      </c>
      <c r="H943" s="9">
        <v>4.7</v>
      </c>
      <c r="I943">
        <f>ROUND(calls[[#This Row],[Satisfaction Rating]],0)</f>
        <v>5</v>
      </c>
      <c r="J943" t="str">
        <f>TEXT(calls[[#This Row],[Date of Call]],"DDDD")</f>
        <v>Sunday</v>
      </c>
    </row>
    <row r="944" spans="2:10" x14ac:dyDescent="0.25">
      <c r="B944" s="8" t="s">
        <v>966</v>
      </c>
      <c r="C944" s="2" t="s">
        <v>19</v>
      </c>
      <c r="D944" s="2">
        <v>96</v>
      </c>
      <c r="E944" s="3" t="s">
        <v>11</v>
      </c>
      <c r="F944" s="6">
        <v>45256</v>
      </c>
      <c r="G944" s="2">
        <v>136</v>
      </c>
      <c r="H944" s="9">
        <v>5</v>
      </c>
      <c r="I944">
        <f>ROUND(calls[[#This Row],[Satisfaction Rating]],0)</f>
        <v>5</v>
      </c>
      <c r="J944" t="str">
        <f>TEXT(calls[[#This Row],[Date of Call]],"DDDD")</f>
        <v>Sunday</v>
      </c>
    </row>
    <row r="945" spans="2:10" x14ac:dyDescent="0.25">
      <c r="B945" s="8" t="s">
        <v>967</v>
      </c>
      <c r="C945" s="2" t="s">
        <v>22</v>
      </c>
      <c r="D945" s="2">
        <v>83</v>
      </c>
      <c r="E945" s="3" t="s">
        <v>9</v>
      </c>
      <c r="F945" s="6">
        <v>45257</v>
      </c>
      <c r="G945" s="2">
        <v>126</v>
      </c>
      <c r="H945" s="9">
        <v>1.5</v>
      </c>
      <c r="I945">
        <f>ROUND(calls[[#This Row],[Satisfaction Rating]],0)</f>
        <v>2</v>
      </c>
      <c r="J945" t="str">
        <f>TEXT(calls[[#This Row],[Date of Call]],"DDDD")</f>
        <v>Monday</v>
      </c>
    </row>
    <row r="946" spans="2:10" x14ac:dyDescent="0.25">
      <c r="B946" s="8" t="s">
        <v>968</v>
      </c>
      <c r="C946" s="2" t="s">
        <v>23</v>
      </c>
      <c r="D946" s="2">
        <v>80</v>
      </c>
      <c r="E946" s="3" t="s">
        <v>10</v>
      </c>
      <c r="F946" s="6">
        <v>45258</v>
      </c>
      <c r="G946" s="2">
        <v>148</v>
      </c>
      <c r="H946" s="9">
        <v>4.0999999999999996</v>
      </c>
      <c r="I946">
        <f>ROUND(calls[[#This Row],[Satisfaction Rating]],0)</f>
        <v>4</v>
      </c>
      <c r="J946" t="str">
        <f>TEXT(calls[[#This Row],[Date of Call]],"DDDD")</f>
        <v>Tuesday</v>
      </c>
    </row>
    <row r="947" spans="2:10" x14ac:dyDescent="0.25">
      <c r="B947" s="8" t="s">
        <v>969</v>
      </c>
      <c r="C947" s="2" t="s">
        <v>22</v>
      </c>
      <c r="D947" s="2">
        <v>152</v>
      </c>
      <c r="E947" s="3" t="s">
        <v>9</v>
      </c>
      <c r="F947" s="6">
        <v>45258</v>
      </c>
      <c r="G947" s="2">
        <v>125</v>
      </c>
      <c r="H947" s="9">
        <v>3.9</v>
      </c>
      <c r="I947">
        <f>ROUND(calls[[#This Row],[Satisfaction Rating]],0)</f>
        <v>4</v>
      </c>
      <c r="J947" t="str">
        <f>TEXT(calls[[#This Row],[Date of Call]],"DDDD")</f>
        <v>Tuesday</v>
      </c>
    </row>
    <row r="948" spans="2:10" x14ac:dyDescent="0.25">
      <c r="B948" s="8" t="s">
        <v>970</v>
      </c>
      <c r="C948" s="2" t="s">
        <v>18</v>
      </c>
      <c r="D948" s="2">
        <v>34</v>
      </c>
      <c r="E948" s="3" t="s">
        <v>11</v>
      </c>
      <c r="F948" s="6">
        <v>45258</v>
      </c>
      <c r="G948" s="2">
        <v>25</v>
      </c>
      <c r="H948" s="9">
        <v>4.0999999999999996</v>
      </c>
      <c r="I948">
        <f>ROUND(calls[[#This Row],[Satisfaction Rating]],0)</f>
        <v>4</v>
      </c>
      <c r="J948" t="str">
        <f>TEXT(calls[[#This Row],[Date of Call]],"DDDD")</f>
        <v>Tuesday</v>
      </c>
    </row>
    <row r="949" spans="2:10" x14ac:dyDescent="0.25">
      <c r="B949" s="8" t="s">
        <v>971</v>
      </c>
      <c r="C949" s="2" t="s">
        <v>14</v>
      </c>
      <c r="D949" s="2">
        <v>2</v>
      </c>
      <c r="E949" s="3" t="s">
        <v>6</v>
      </c>
      <c r="F949" s="6">
        <v>45259</v>
      </c>
      <c r="G949" s="2">
        <v>62</v>
      </c>
      <c r="H949" s="9">
        <v>2.8</v>
      </c>
      <c r="I949">
        <f>ROUND(calls[[#This Row],[Satisfaction Rating]],0)</f>
        <v>3</v>
      </c>
      <c r="J949" t="str">
        <f>TEXT(calls[[#This Row],[Date of Call]],"DDDD")</f>
        <v>Wednesday</v>
      </c>
    </row>
    <row r="950" spans="2:10" x14ac:dyDescent="0.25">
      <c r="B950" s="8" t="s">
        <v>972</v>
      </c>
      <c r="C950" s="2" t="s">
        <v>23</v>
      </c>
      <c r="D950" s="2">
        <v>140</v>
      </c>
      <c r="E950" s="3" t="s">
        <v>11</v>
      </c>
      <c r="F950" s="6">
        <v>45260</v>
      </c>
      <c r="G950" s="2">
        <v>90</v>
      </c>
      <c r="H950" s="9">
        <v>4.5999999999999996</v>
      </c>
      <c r="I950">
        <f>ROUND(calls[[#This Row],[Satisfaction Rating]],0)</f>
        <v>5</v>
      </c>
      <c r="J950" t="str">
        <f>TEXT(calls[[#This Row],[Date of Call]],"DDDD")</f>
        <v>Thursday</v>
      </c>
    </row>
    <row r="951" spans="2:10" x14ac:dyDescent="0.25">
      <c r="B951" s="8" t="s">
        <v>973</v>
      </c>
      <c r="C951" s="2" t="s">
        <v>12</v>
      </c>
      <c r="D951" s="2">
        <v>126</v>
      </c>
      <c r="E951" s="3" t="s">
        <v>13</v>
      </c>
      <c r="F951" s="6">
        <v>45261</v>
      </c>
      <c r="G951" s="2">
        <v>33</v>
      </c>
      <c r="H951" s="9">
        <v>4.8</v>
      </c>
      <c r="I951">
        <f>ROUND(calls[[#This Row],[Satisfaction Rating]],0)</f>
        <v>5</v>
      </c>
      <c r="J951" t="str">
        <f>TEXT(calls[[#This Row],[Date of Call]],"DDDD")</f>
        <v>Friday</v>
      </c>
    </row>
    <row r="952" spans="2:10" x14ac:dyDescent="0.25">
      <c r="B952" s="8" t="s">
        <v>974</v>
      </c>
      <c r="C952" s="2" t="s">
        <v>21</v>
      </c>
      <c r="D952" s="2">
        <v>79</v>
      </c>
      <c r="E952" s="3" t="s">
        <v>6</v>
      </c>
      <c r="F952" s="6">
        <v>45261</v>
      </c>
      <c r="G952" s="2">
        <v>115</v>
      </c>
      <c r="H952" s="9">
        <v>2.2999999999999998</v>
      </c>
      <c r="I952">
        <f>ROUND(calls[[#This Row],[Satisfaction Rating]],0)</f>
        <v>2</v>
      </c>
      <c r="J952" t="str">
        <f>TEXT(calls[[#This Row],[Date of Call]],"DDDD")</f>
        <v>Friday</v>
      </c>
    </row>
    <row r="953" spans="2:10" x14ac:dyDescent="0.25">
      <c r="B953" s="8" t="s">
        <v>975</v>
      </c>
      <c r="C953" s="2" t="s">
        <v>12</v>
      </c>
      <c r="D953" s="2">
        <v>133</v>
      </c>
      <c r="E953" s="3" t="s">
        <v>13</v>
      </c>
      <c r="F953" s="6">
        <v>45261</v>
      </c>
      <c r="G953" s="2">
        <v>45</v>
      </c>
      <c r="H953" s="9">
        <v>2.6</v>
      </c>
      <c r="I953">
        <f>ROUND(calls[[#This Row],[Satisfaction Rating]],0)</f>
        <v>3</v>
      </c>
      <c r="J953" t="str">
        <f>TEXT(calls[[#This Row],[Date of Call]],"DDDD")</f>
        <v>Friday</v>
      </c>
    </row>
    <row r="954" spans="2:10" x14ac:dyDescent="0.25">
      <c r="B954" s="8" t="s">
        <v>976</v>
      </c>
      <c r="C954" s="2" t="s">
        <v>18</v>
      </c>
      <c r="D954" s="2">
        <v>97</v>
      </c>
      <c r="E954" s="3" t="s">
        <v>10</v>
      </c>
      <c r="F954" s="6">
        <v>45261</v>
      </c>
      <c r="G954" s="2">
        <v>114</v>
      </c>
      <c r="H954" s="9">
        <v>4.8</v>
      </c>
      <c r="I954">
        <f>ROUND(calls[[#This Row],[Satisfaction Rating]],0)</f>
        <v>5</v>
      </c>
      <c r="J954" t="str">
        <f>TEXT(calls[[#This Row],[Date of Call]],"DDDD")</f>
        <v>Friday</v>
      </c>
    </row>
    <row r="955" spans="2:10" x14ac:dyDescent="0.25">
      <c r="B955" s="8" t="s">
        <v>977</v>
      </c>
      <c r="C955" s="2" t="s">
        <v>21</v>
      </c>
      <c r="D955" s="2">
        <v>102</v>
      </c>
      <c r="E955" s="3" t="s">
        <v>9</v>
      </c>
      <c r="F955" s="6">
        <v>45262</v>
      </c>
      <c r="G955" s="2">
        <v>72</v>
      </c>
      <c r="H955" s="9">
        <v>3.7</v>
      </c>
      <c r="I955">
        <f>ROUND(calls[[#This Row],[Satisfaction Rating]],0)</f>
        <v>4</v>
      </c>
      <c r="J955" t="str">
        <f>TEXT(calls[[#This Row],[Date of Call]],"DDDD")</f>
        <v>Saturday</v>
      </c>
    </row>
    <row r="956" spans="2:10" x14ac:dyDescent="0.25">
      <c r="B956" s="8" t="s">
        <v>978</v>
      </c>
      <c r="C956" s="2" t="s">
        <v>7</v>
      </c>
      <c r="D956" s="2">
        <v>62</v>
      </c>
      <c r="E956" s="3" t="s">
        <v>10</v>
      </c>
      <c r="F956" s="6">
        <v>45262</v>
      </c>
      <c r="G956" s="2">
        <v>205</v>
      </c>
      <c r="H956" s="9">
        <v>4.2</v>
      </c>
      <c r="I956">
        <f>ROUND(calls[[#This Row],[Satisfaction Rating]],0)</f>
        <v>4</v>
      </c>
      <c r="J956" t="str">
        <f>TEXT(calls[[#This Row],[Date of Call]],"DDDD")</f>
        <v>Saturday</v>
      </c>
    </row>
    <row r="957" spans="2:10" x14ac:dyDescent="0.25">
      <c r="B957" s="8" t="s">
        <v>979</v>
      </c>
      <c r="C957" s="2" t="s">
        <v>12</v>
      </c>
      <c r="D957" s="2">
        <v>149</v>
      </c>
      <c r="E957" s="3" t="s">
        <v>9</v>
      </c>
      <c r="F957" s="6">
        <v>45263</v>
      </c>
      <c r="G957" s="2">
        <v>42</v>
      </c>
      <c r="H957" s="9">
        <v>3.3</v>
      </c>
      <c r="I957">
        <f>ROUND(calls[[#This Row],[Satisfaction Rating]],0)</f>
        <v>3</v>
      </c>
      <c r="J957" t="str">
        <f>TEXT(calls[[#This Row],[Date of Call]],"DDDD")</f>
        <v>Sunday</v>
      </c>
    </row>
    <row r="958" spans="2:10" x14ac:dyDescent="0.25">
      <c r="B958" s="8" t="s">
        <v>980</v>
      </c>
      <c r="C958" s="2" t="s">
        <v>14</v>
      </c>
      <c r="D958" s="2">
        <v>133</v>
      </c>
      <c r="E958" s="3" t="s">
        <v>10</v>
      </c>
      <c r="F958" s="6">
        <v>45263</v>
      </c>
      <c r="G958" s="2">
        <v>96</v>
      </c>
      <c r="H958" s="9">
        <v>4.3</v>
      </c>
      <c r="I958">
        <f>ROUND(calls[[#This Row],[Satisfaction Rating]],0)</f>
        <v>4</v>
      </c>
      <c r="J958" t="str">
        <f>TEXT(calls[[#This Row],[Date of Call]],"DDDD")</f>
        <v>Sunday</v>
      </c>
    </row>
    <row r="959" spans="2:10" x14ac:dyDescent="0.25">
      <c r="B959" s="8" t="s">
        <v>981</v>
      </c>
      <c r="C959" s="2" t="s">
        <v>21</v>
      </c>
      <c r="D959" s="2">
        <v>51</v>
      </c>
      <c r="E959" s="3" t="s">
        <v>6</v>
      </c>
      <c r="F959" s="6">
        <v>45263</v>
      </c>
      <c r="G959" s="2">
        <v>64</v>
      </c>
      <c r="H959" s="9">
        <v>3.7</v>
      </c>
      <c r="I959">
        <f>ROUND(calls[[#This Row],[Satisfaction Rating]],0)</f>
        <v>4</v>
      </c>
      <c r="J959" t="str">
        <f>TEXT(calls[[#This Row],[Date of Call]],"DDDD")</f>
        <v>Sunday</v>
      </c>
    </row>
    <row r="960" spans="2:10" x14ac:dyDescent="0.25">
      <c r="B960" s="8" t="s">
        <v>982</v>
      </c>
      <c r="C960" s="2" t="s">
        <v>7</v>
      </c>
      <c r="D960" s="2">
        <v>110</v>
      </c>
      <c r="E960" s="3" t="s">
        <v>10</v>
      </c>
      <c r="F960" s="6">
        <v>45264</v>
      </c>
      <c r="G960" s="2">
        <v>72</v>
      </c>
      <c r="H960" s="9">
        <v>3.7</v>
      </c>
      <c r="I960">
        <f>ROUND(calls[[#This Row],[Satisfaction Rating]],0)</f>
        <v>4</v>
      </c>
      <c r="J960" t="str">
        <f>TEXT(calls[[#This Row],[Date of Call]],"DDDD")</f>
        <v>Monday</v>
      </c>
    </row>
    <row r="961" spans="2:10" x14ac:dyDescent="0.25">
      <c r="B961" s="8" t="s">
        <v>983</v>
      </c>
      <c r="C961" s="2" t="s">
        <v>18</v>
      </c>
      <c r="D961" s="2">
        <v>38</v>
      </c>
      <c r="E961" s="3" t="s">
        <v>13</v>
      </c>
      <c r="F961" s="6">
        <v>45265</v>
      </c>
      <c r="G961" s="2">
        <v>27</v>
      </c>
      <c r="H961" s="9">
        <v>3.1</v>
      </c>
      <c r="I961">
        <f>ROUND(calls[[#This Row],[Satisfaction Rating]],0)</f>
        <v>3</v>
      </c>
      <c r="J961" t="str">
        <f>TEXT(calls[[#This Row],[Date of Call]],"DDDD")</f>
        <v>Tuesday</v>
      </c>
    </row>
    <row r="962" spans="2:10" x14ac:dyDescent="0.25">
      <c r="B962" s="8" t="s">
        <v>984</v>
      </c>
      <c r="C962" s="2" t="s">
        <v>14</v>
      </c>
      <c r="D962" s="2">
        <v>78</v>
      </c>
      <c r="E962" s="3" t="s">
        <v>13</v>
      </c>
      <c r="F962" s="6">
        <v>45267</v>
      </c>
      <c r="G962" s="2">
        <v>200</v>
      </c>
      <c r="H962" s="9">
        <v>2.4</v>
      </c>
      <c r="I962">
        <f>ROUND(calls[[#This Row],[Satisfaction Rating]],0)</f>
        <v>2</v>
      </c>
      <c r="J962" t="str">
        <f>TEXT(calls[[#This Row],[Date of Call]],"DDDD")</f>
        <v>Thursday</v>
      </c>
    </row>
    <row r="963" spans="2:10" x14ac:dyDescent="0.25">
      <c r="B963" s="8" t="s">
        <v>985</v>
      </c>
      <c r="C963" s="2" t="s">
        <v>18</v>
      </c>
      <c r="D963" s="2">
        <v>25</v>
      </c>
      <c r="E963" s="3" t="s">
        <v>9</v>
      </c>
      <c r="F963" s="6">
        <v>45268</v>
      </c>
      <c r="G963" s="2">
        <v>93</v>
      </c>
      <c r="H963" s="9">
        <v>3.5</v>
      </c>
      <c r="I963">
        <f>ROUND(calls[[#This Row],[Satisfaction Rating]],0)</f>
        <v>4</v>
      </c>
      <c r="J963" t="str">
        <f>TEXT(calls[[#This Row],[Date of Call]],"DDDD")</f>
        <v>Friday</v>
      </c>
    </row>
    <row r="964" spans="2:10" x14ac:dyDescent="0.25">
      <c r="B964" s="8" t="s">
        <v>986</v>
      </c>
      <c r="C964" s="2" t="s">
        <v>16</v>
      </c>
      <c r="D964" s="2">
        <v>50</v>
      </c>
      <c r="E964" s="3" t="s">
        <v>6</v>
      </c>
      <c r="F964" s="6">
        <v>45268</v>
      </c>
      <c r="G964" s="2">
        <v>54</v>
      </c>
      <c r="H964" s="9">
        <v>4.3</v>
      </c>
      <c r="I964">
        <f>ROUND(calls[[#This Row],[Satisfaction Rating]],0)</f>
        <v>4</v>
      </c>
      <c r="J964" t="str">
        <f>TEXT(calls[[#This Row],[Date of Call]],"DDDD")</f>
        <v>Friday</v>
      </c>
    </row>
    <row r="965" spans="2:10" x14ac:dyDescent="0.25">
      <c r="B965" s="8" t="s">
        <v>987</v>
      </c>
      <c r="C965" s="2" t="s">
        <v>18</v>
      </c>
      <c r="D965" s="2">
        <v>103</v>
      </c>
      <c r="E965" s="3" t="s">
        <v>9</v>
      </c>
      <c r="F965" s="6">
        <v>45269</v>
      </c>
      <c r="G965" s="2">
        <v>72</v>
      </c>
      <c r="H965" s="9">
        <v>3.4</v>
      </c>
      <c r="I965">
        <f>ROUND(calls[[#This Row],[Satisfaction Rating]],0)</f>
        <v>3</v>
      </c>
      <c r="J965" t="str">
        <f>TEXT(calls[[#This Row],[Date of Call]],"DDDD")</f>
        <v>Saturday</v>
      </c>
    </row>
    <row r="966" spans="2:10" x14ac:dyDescent="0.25">
      <c r="B966" s="8" t="s">
        <v>988</v>
      </c>
      <c r="C966" s="2" t="s">
        <v>22</v>
      </c>
      <c r="D966" s="2">
        <v>63</v>
      </c>
      <c r="E966" s="3" t="s">
        <v>11</v>
      </c>
      <c r="F966" s="6">
        <v>45269</v>
      </c>
      <c r="G966" s="2">
        <v>82</v>
      </c>
      <c r="H966" s="9">
        <v>3.7</v>
      </c>
      <c r="I966">
        <f>ROUND(calls[[#This Row],[Satisfaction Rating]],0)</f>
        <v>4</v>
      </c>
      <c r="J966" t="str">
        <f>TEXT(calls[[#This Row],[Date of Call]],"DDDD")</f>
        <v>Saturday</v>
      </c>
    </row>
    <row r="967" spans="2:10" x14ac:dyDescent="0.25">
      <c r="B967" s="8" t="s">
        <v>989</v>
      </c>
      <c r="C967" s="2" t="s">
        <v>16</v>
      </c>
      <c r="D967" s="2">
        <v>96</v>
      </c>
      <c r="E967" s="3" t="s">
        <v>6</v>
      </c>
      <c r="F967" s="6">
        <v>45273</v>
      </c>
      <c r="G967" s="2">
        <v>164</v>
      </c>
      <c r="H967" s="9">
        <v>4.8</v>
      </c>
      <c r="I967">
        <f>ROUND(calls[[#This Row],[Satisfaction Rating]],0)</f>
        <v>5</v>
      </c>
      <c r="J967" t="str">
        <f>TEXT(calls[[#This Row],[Date of Call]],"DDDD")</f>
        <v>Wednesday</v>
      </c>
    </row>
    <row r="968" spans="2:10" x14ac:dyDescent="0.25">
      <c r="B968" s="8" t="s">
        <v>990</v>
      </c>
      <c r="C968" s="2" t="s">
        <v>23</v>
      </c>
      <c r="D968" s="2">
        <v>94</v>
      </c>
      <c r="E968" s="3" t="s">
        <v>9</v>
      </c>
      <c r="F968" s="6">
        <v>45273</v>
      </c>
      <c r="G968" s="2">
        <v>78</v>
      </c>
      <c r="H968" s="9">
        <v>3.3</v>
      </c>
      <c r="I968">
        <f>ROUND(calls[[#This Row],[Satisfaction Rating]],0)</f>
        <v>3</v>
      </c>
      <c r="J968" t="str">
        <f>TEXT(calls[[#This Row],[Date of Call]],"DDDD")</f>
        <v>Wednesday</v>
      </c>
    </row>
    <row r="969" spans="2:10" x14ac:dyDescent="0.25">
      <c r="B969" s="8" t="s">
        <v>991</v>
      </c>
      <c r="C969" s="2" t="s">
        <v>7</v>
      </c>
      <c r="D969" s="2">
        <v>46</v>
      </c>
      <c r="E969" s="3" t="s">
        <v>13</v>
      </c>
      <c r="F969" s="6">
        <v>45274</v>
      </c>
      <c r="G969" s="2">
        <v>135</v>
      </c>
      <c r="H969" s="9">
        <v>4.2</v>
      </c>
      <c r="I969">
        <f>ROUND(calls[[#This Row],[Satisfaction Rating]],0)</f>
        <v>4</v>
      </c>
      <c r="J969" t="str">
        <f>TEXT(calls[[#This Row],[Date of Call]],"DDDD")</f>
        <v>Thursday</v>
      </c>
    </row>
    <row r="970" spans="2:10" x14ac:dyDescent="0.25">
      <c r="B970" s="8" t="s">
        <v>992</v>
      </c>
      <c r="C970" s="2" t="s">
        <v>5</v>
      </c>
      <c r="D970" s="2">
        <v>127</v>
      </c>
      <c r="E970" s="3" t="s">
        <v>6</v>
      </c>
      <c r="F970" s="6">
        <v>45275</v>
      </c>
      <c r="G970" s="2">
        <v>145</v>
      </c>
      <c r="H970" s="9">
        <v>2.6</v>
      </c>
      <c r="I970">
        <f>ROUND(calls[[#This Row],[Satisfaction Rating]],0)</f>
        <v>3</v>
      </c>
      <c r="J970" t="str">
        <f>TEXT(calls[[#This Row],[Date of Call]],"DDDD")</f>
        <v>Friday</v>
      </c>
    </row>
    <row r="971" spans="2:10" x14ac:dyDescent="0.25">
      <c r="B971" s="8" t="s">
        <v>993</v>
      </c>
      <c r="C971" s="2" t="s">
        <v>15</v>
      </c>
      <c r="D971" s="2">
        <v>96</v>
      </c>
      <c r="E971" s="3" t="s">
        <v>13</v>
      </c>
      <c r="F971" s="6">
        <v>45275</v>
      </c>
      <c r="G971" s="2">
        <v>115</v>
      </c>
      <c r="H971" s="9">
        <v>4.9000000000000004</v>
      </c>
      <c r="I971">
        <f>ROUND(calls[[#This Row],[Satisfaction Rating]],0)</f>
        <v>5</v>
      </c>
      <c r="J971" t="str">
        <f>TEXT(calls[[#This Row],[Date of Call]],"DDDD")</f>
        <v>Friday</v>
      </c>
    </row>
    <row r="972" spans="2:10" x14ac:dyDescent="0.25">
      <c r="B972" s="8" t="s">
        <v>1004</v>
      </c>
      <c r="C972" s="2" t="s">
        <v>17</v>
      </c>
      <c r="D972" s="2">
        <v>151</v>
      </c>
      <c r="E972" s="3" t="s">
        <v>9</v>
      </c>
      <c r="F972" s="6">
        <v>45275</v>
      </c>
      <c r="G972" s="2">
        <v>117</v>
      </c>
      <c r="H972" s="9">
        <v>2</v>
      </c>
      <c r="I972">
        <f>ROUND(calls[[#This Row],[Satisfaction Rating]],0)</f>
        <v>2</v>
      </c>
      <c r="J972" t="str">
        <f>TEXT(calls[[#This Row],[Date of Call]],"DDDD")</f>
        <v>Friday</v>
      </c>
    </row>
    <row r="973" spans="2:10" x14ac:dyDescent="0.25">
      <c r="B973" s="8" t="s">
        <v>1005</v>
      </c>
      <c r="C973" s="2" t="s">
        <v>5</v>
      </c>
      <c r="D973" s="2">
        <v>158</v>
      </c>
      <c r="E973" s="3" t="s">
        <v>10</v>
      </c>
      <c r="F973" s="6">
        <v>45276</v>
      </c>
      <c r="G973" s="2">
        <v>36</v>
      </c>
      <c r="H973" s="9">
        <v>4.7</v>
      </c>
      <c r="I973">
        <f>ROUND(calls[[#This Row],[Satisfaction Rating]],0)</f>
        <v>5</v>
      </c>
      <c r="J973" t="str">
        <f>TEXT(calls[[#This Row],[Date of Call]],"DDDD")</f>
        <v>Saturday</v>
      </c>
    </row>
    <row r="974" spans="2:10" x14ac:dyDescent="0.25">
      <c r="B974" s="8" t="s">
        <v>1006</v>
      </c>
      <c r="C974" s="2" t="s">
        <v>23</v>
      </c>
      <c r="D974" s="2">
        <v>45</v>
      </c>
      <c r="E974" s="3" t="s">
        <v>10</v>
      </c>
      <c r="F974" s="6">
        <v>45276</v>
      </c>
      <c r="G974" s="2">
        <v>84</v>
      </c>
      <c r="H974" s="9">
        <v>2.8</v>
      </c>
      <c r="I974">
        <f>ROUND(calls[[#This Row],[Satisfaction Rating]],0)</f>
        <v>3</v>
      </c>
      <c r="J974" t="str">
        <f>TEXT(calls[[#This Row],[Date of Call]],"DDDD")</f>
        <v>Saturday</v>
      </c>
    </row>
    <row r="975" spans="2:10" x14ac:dyDescent="0.25">
      <c r="B975" s="8" t="s">
        <v>1007</v>
      </c>
      <c r="C975" s="2" t="s">
        <v>24</v>
      </c>
      <c r="D975" s="2">
        <v>141</v>
      </c>
      <c r="E975" s="3" t="s">
        <v>10</v>
      </c>
      <c r="F975" s="6">
        <v>45276</v>
      </c>
      <c r="G975" s="2">
        <v>66</v>
      </c>
      <c r="H975" s="9">
        <v>3.2</v>
      </c>
      <c r="I975">
        <f>ROUND(calls[[#This Row],[Satisfaction Rating]],0)</f>
        <v>3</v>
      </c>
      <c r="J975" t="str">
        <f>TEXT(calls[[#This Row],[Date of Call]],"DDDD")</f>
        <v>Saturday</v>
      </c>
    </row>
    <row r="976" spans="2:10" x14ac:dyDescent="0.25">
      <c r="B976" s="8" t="s">
        <v>1008</v>
      </c>
      <c r="C976" s="2" t="s">
        <v>18</v>
      </c>
      <c r="D976" s="2">
        <v>147</v>
      </c>
      <c r="E976" s="3" t="s">
        <v>13</v>
      </c>
      <c r="F976" s="6">
        <v>45276</v>
      </c>
      <c r="G976" s="2">
        <v>76</v>
      </c>
      <c r="H976" s="9">
        <v>4.7</v>
      </c>
      <c r="I976">
        <f>ROUND(calls[[#This Row],[Satisfaction Rating]],0)</f>
        <v>5</v>
      </c>
      <c r="J976" t="str">
        <f>TEXT(calls[[#This Row],[Date of Call]],"DDDD")</f>
        <v>Saturday</v>
      </c>
    </row>
    <row r="977" spans="2:10" x14ac:dyDescent="0.25">
      <c r="B977" s="8" t="s">
        <v>1009</v>
      </c>
      <c r="C977" s="2" t="s">
        <v>19</v>
      </c>
      <c r="D977" s="2">
        <v>126</v>
      </c>
      <c r="E977" s="3" t="s">
        <v>13</v>
      </c>
      <c r="F977" s="6">
        <v>45276</v>
      </c>
      <c r="G977" s="2">
        <v>185</v>
      </c>
      <c r="H977" s="9">
        <v>4.8</v>
      </c>
      <c r="I977">
        <f>ROUND(calls[[#This Row],[Satisfaction Rating]],0)</f>
        <v>5</v>
      </c>
      <c r="J977" t="str">
        <f>TEXT(calls[[#This Row],[Date of Call]],"DDDD")</f>
        <v>Saturday</v>
      </c>
    </row>
    <row r="978" spans="2:10" x14ac:dyDescent="0.25">
      <c r="B978" s="8" t="s">
        <v>1010</v>
      </c>
      <c r="C978" s="2" t="s">
        <v>23</v>
      </c>
      <c r="D978" s="2">
        <v>126</v>
      </c>
      <c r="E978" s="3" t="s">
        <v>11</v>
      </c>
      <c r="F978" s="6">
        <v>45277</v>
      </c>
      <c r="G978" s="2">
        <v>80</v>
      </c>
      <c r="H978" s="9">
        <v>4.7</v>
      </c>
      <c r="I978">
        <f>ROUND(calls[[#This Row],[Satisfaction Rating]],0)</f>
        <v>5</v>
      </c>
      <c r="J978" t="str">
        <f>TEXT(calls[[#This Row],[Date of Call]],"DDDD")</f>
        <v>Sunday</v>
      </c>
    </row>
    <row r="979" spans="2:10" x14ac:dyDescent="0.25">
      <c r="B979" s="8" t="s">
        <v>1011</v>
      </c>
      <c r="C979" s="2" t="s">
        <v>14</v>
      </c>
      <c r="D979" s="2">
        <v>32</v>
      </c>
      <c r="E979" s="3" t="s">
        <v>13</v>
      </c>
      <c r="F979" s="6">
        <v>45277</v>
      </c>
      <c r="G979" s="2">
        <v>148</v>
      </c>
      <c r="H979" s="9">
        <v>4</v>
      </c>
      <c r="I979">
        <f>ROUND(calls[[#This Row],[Satisfaction Rating]],0)</f>
        <v>4</v>
      </c>
      <c r="J979" t="str">
        <f>TEXT(calls[[#This Row],[Date of Call]],"DDDD")</f>
        <v>Sunday</v>
      </c>
    </row>
    <row r="980" spans="2:10" x14ac:dyDescent="0.25">
      <c r="B980" s="8" t="s">
        <v>1012</v>
      </c>
      <c r="C980" s="2" t="s">
        <v>23</v>
      </c>
      <c r="D980" s="2">
        <v>84</v>
      </c>
      <c r="E980" s="3" t="s">
        <v>6</v>
      </c>
      <c r="F980" s="6">
        <v>45279</v>
      </c>
      <c r="G980" s="2">
        <v>180</v>
      </c>
      <c r="H980" s="9">
        <v>4.9000000000000004</v>
      </c>
      <c r="I980">
        <f>ROUND(calls[[#This Row],[Satisfaction Rating]],0)</f>
        <v>5</v>
      </c>
      <c r="J980" t="str">
        <f>TEXT(calls[[#This Row],[Date of Call]],"DDDD")</f>
        <v>Tuesday</v>
      </c>
    </row>
    <row r="981" spans="2:10" x14ac:dyDescent="0.25">
      <c r="B981" s="8" t="s">
        <v>1013</v>
      </c>
      <c r="C981" s="2" t="s">
        <v>22</v>
      </c>
      <c r="D981" s="2">
        <v>120</v>
      </c>
      <c r="E981" s="3" t="s">
        <v>11</v>
      </c>
      <c r="F981" s="6">
        <v>45280</v>
      </c>
      <c r="G981" s="2">
        <v>190</v>
      </c>
      <c r="H981" s="9">
        <v>3.7</v>
      </c>
      <c r="I981">
        <f>ROUND(calls[[#This Row],[Satisfaction Rating]],0)</f>
        <v>4</v>
      </c>
      <c r="J981" t="str">
        <f>TEXT(calls[[#This Row],[Date of Call]],"DDDD")</f>
        <v>Wednesday</v>
      </c>
    </row>
    <row r="982" spans="2:10" x14ac:dyDescent="0.25">
      <c r="B982" s="8" t="s">
        <v>1014</v>
      </c>
      <c r="C982" s="2" t="s">
        <v>8</v>
      </c>
      <c r="D982" s="2">
        <v>93</v>
      </c>
      <c r="E982" s="3" t="s">
        <v>13</v>
      </c>
      <c r="F982" s="6">
        <v>45280</v>
      </c>
      <c r="G982" s="2">
        <v>38</v>
      </c>
      <c r="H982" s="9">
        <v>4.5</v>
      </c>
      <c r="I982">
        <f>ROUND(calls[[#This Row],[Satisfaction Rating]],0)</f>
        <v>5</v>
      </c>
      <c r="J982" t="str">
        <f>TEXT(calls[[#This Row],[Date of Call]],"DDDD")</f>
        <v>Wednesday</v>
      </c>
    </row>
    <row r="983" spans="2:10" x14ac:dyDescent="0.25">
      <c r="B983" s="8" t="s">
        <v>1015</v>
      </c>
      <c r="C983" s="2" t="s">
        <v>15</v>
      </c>
      <c r="D983" s="2">
        <v>76</v>
      </c>
      <c r="E983" s="3" t="s">
        <v>9</v>
      </c>
      <c r="F983" s="6">
        <v>45281</v>
      </c>
      <c r="G983" s="2">
        <v>82</v>
      </c>
      <c r="H983" s="9">
        <v>2.1</v>
      </c>
      <c r="I983">
        <f>ROUND(calls[[#This Row],[Satisfaction Rating]],0)</f>
        <v>2</v>
      </c>
      <c r="J983" t="str">
        <f>TEXT(calls[[#This Row],[Date of Call]],"DDDD")</f>
        <v>Thursday</v>
      </c>
    </row>
    <row r="984" spans="2:10" x14ac:dyDescent="0.25">
      <c r="B984" s="8" t="s">
        <v>1016</v>
      </c>
      <c r="C984" s="2" t="s">
        <v>5</v>
      </c>
      <c r="D984" s="2">
        <v>89</v>
      </c>
      <c r="E984" s="3" t="s">
        <v>13</v>
      </c>
      <c r="F984" s="6">
        <v>45284</v>
      </c>
      <c r="G984" s="2">
        <v>88</v>
      </c>
      <c r="H984" s="9">
        <v>2.8</v>
      </c>
      <c r="I984">
        <f>ROUND(calls[[#This Row],[Satisfaction Rating]],0)</f>
        <v>3</v>
      </c>
      <c r="J984" t="str">
        <f>TEXT(calls[[#This Row],[Date of Call]],"DDDD")</f>
        <v>Sunday</v>
      </c>
    </row>
    <row r="985" spans="2:10" x14ac:dyDescent="0.25">
      <c r="B985" s="8" t="s">
        <v>1017</v>
      </c>
      <c r="C985" s="2" t="s">
        <v>21</v>
      </c>
      <c r="D985" s="2">
        <v>91</v>
      </c>
      <c r="E985" s="3" t="s">
        <v>6</v>
      </c>
      <c r="F985" s="6">
        <v>45284</v>
      </c>
      <c r="G985" s="2">
        <v>42</v>
      </c>
      <c r="H985" s="9">
        <v>4.0999999999999996</v>
      </c>
      <c r="I985">
        <f>ROUND(calls[[#This Row],[Satisfaction Rating]],0)</f>
        <v>4</v>
      </c>
      <c r="J985" t="str">
        <f>TEXT(calls[[#This Row],[Date of Call]],"DDDD")</f>
        <v>Sunday</v>
      </c>
    </row>
    <row r="986" spans="2:10" x14ac:dyDescent="0.25">
      <c r="B986" s="8" t="s">
        <v>1018</v>
      </c>
      <c r="C986" s="2" t="s">
        <v>7</v>
      </c>
      <c r="D986" s="2">
        <v>7</v>
      </c>
      <c r="E986" s="3" t="s">
        <v>10</v>
      </c>
      <c r="F986" s="6">
        <v>45285</v>
      </c>
      <c r="G986" s="2">
        <v>64</v>
      </c>
      <c r="H986" s="9">
        <v>3.3</v>
      </c>
      <c r="I986">
        <f>ROUND(calls[[#This Row],[Satisfaction Rating]],0)</f>
        <v>3</v>
      </c>
      <c r="J986" t="str">
        <f>TEXT(calls[[#This Row],[Date of Call]],"DDDD")</f>
        <v>Monday</v>
      </c>
    </row>
    <row r="987" spans="2:10" x14ac:dyDescent="0.25">
      <c r="B987" s="8" t="s">
        <v>1019</v>
      </c>
      <c r="C987" s="2" t="s">
        <v>14</v>
      </c>
      <c r="D987" s="2">
        <v>140</v>
      </c>
      <c r="E987" s="3" t="s">
        <v>10</v>
      </c>
      <c r="F987" s="6">
        <v>45285</v>
      </c>
      <c r="G987" s="2">
        <v>105</v>
      </c>
      <c r="H987" s="9">
        <v>1.7</v>
      </c>
      <c r="I987">
        <f>ROUND(calls[[#This Row],[Satisfaction Rating]],0)</f>
        <v>2</v>
      </c>
      <c r="J987" t="str">
        <f>TEXT(calls[[#This Row],[Date of Call]],"DDDD")</f>
        <v>Monday</v>
      </c>
    </row>
    <row r="988" spans="2:10" x14ac:dyDescent="0.25">
      <c r="B988" s="8" t="s">
        <v>1020</v>
      </c>
      <c r="C988" s="2" t="s">
        <v>12</v>
      </c>
      <c r="D988" s="2">
        <v>58</v>
      </c>
      <c r="E988" s="3" t="s">
        <v>11</v>
      </c>
      <c r="F988" s="6">
        <v>45285</v>
      </c>
      <c r="G988" s="2">
        <v>25</v>
      </c>
      <c r="H988" s="9">
        <v>3.6</v>
      </c>
      <c r="I988">
        <f>ROUND(calls[[#This Row],[Satisfaction Rating]],0)</f>
        <v>4</v>
      </c>
      <c r="J988" t="str">
        <f>TEXT(calls[[#This Row],[Date of Call]],"DDDD")</f>
        <v>Monday</v>
      </c>
    </row>
    <row r="989" spans="2:10" x14ac:dyDescent="0.25">
      <c r="B989" s="8" t="s">
        <v>1021</v>
      </c>
      <c r="C989" s="2" t="s">
        <v>20</v>
      </c>
      <c r="D989" s="2">
        <v>90</v>
      </c>
      <c r="E989" s="3" t="s">
        <v>9</v>
      </c>
      <c r="F989" s="6">
        <v>45286</v>
      </c>
      <c r="G989" s="2">
        <v>176</v>
      </c>
      <c r="H989" s="9">
        <v>3.6</v>
      </c>
      <c r="I989">
        <f>ROUND(calls[[#This Row],[Satisfaction Rating]],0)</f>
        <v>4</v>
      </c>
      <c r="J989" t="str">
        <f>TEXT(calls[[#This Row],[Date of Call]],"DDDD")</f>
        <v>Tuesday</v>
      </c>
    </row>
    <row r="990" spans="2:10" x14ac:dyDescent="0.25">
      <c r="B990" s="8" t="s">
        <v>1022</v>
      </c>
      <c r="C990" s="2" t="s">
        <v>20</v>
      </c>
      <c r="D990" s="2">
        <v>106</v>
      </c>
      <c r="E990" s="3" t="s">
        <v>13</v>
      </c>
      <c r="F990" s="6">
        <v>45287</v>
      </c>
      <c r="G990" s="2">
        <v>46</v>
      </c>
      <c r="H990" s="9">
        <v>4.5999999999999996</v>
      </c>
      <c r="I990">
        <f>ROUND(calls[[#This Row],[Satisfaction Rating]],0)</f>
        <v>5</v>
      </c>
      <c r="J990" t="str">
        <f>TEXT(calls[[#This Row],[Date of Call]],"DDDD")</f>
        <v>Wednesday</v>
      </c>
    </row>
    <row r="991" spans="2:10" x14ac:dyDescent="0.25">
      <c r="B991" s="8" t="s">
        <v>1023</v>
      </c>
      <c r="C991" s="2" t="s">
        <v>22</v>
      </c>
      <c r="D991" s="2">
        <v>72</v>
      </c>
      <c r="E991" s="3" t="s">
        <v>10</v>
      </c>
      <c r="F991" s="6">
        <v>45287</v>
      </c>
      <c r="G991" s="2">
        <v>164</v>
      </c>
      <c r="H991" s="9">
        <v>4.8</v>
      </c>
      <c r="I991">
        <f>ROUND(calls[[#This Row],[Satisfaction Rating]],0)</f>
        <v>5</v>
      </c>
      <c r="J991" t="str">
        <f>TEXT(calls[[#This Row],[Date of Call]],"DDDD")</f>
        <v>Wednesday</v>
      </c>
    </row>
    <row r="992" spans="2:10" x14ac:dyDescent="0.25">
      <c r="B992" s="8" t="s">
        <v>1024</v>
      </c>
      <c r="C992" s="2" t="s">
        <v>7</v>
      </c>
      <c r="D992" s="2">
        <v>124</v>
      </c>
      <c r="E992" s="3" t="s">
        <v>10</v>
      </c>
      <c r="F992" s="6">
        <v>45288</v>
      </c>
      <c r="G992" s="2">
        <v>64</v>
      </c>
      <c r="H992" s="9">
        <v>4.5</v>
      </c>
      <c r="I992">
        <f>ROUND(calls[[#This Row],[Satisfaction Rating]],0)</f>
        <v>5</v>
      </c>
      <c r="J992" t="str">
        <f>TEXT(calls[[#This Row],[Date of Call]],"DDDD")</f>
        <v>Thursday</v>
      </c>
    </row>
    <row r="993" spans="2:10" x14ac:dyDescent="0.25">
      <c r="B993" s="8" t="s">
        <v>1025</v>
      </c>
      <c r="C993" s="2" t="s">
        <v>24</v>
      </c>
      <c r="D993" s="2">
        <v>86</v>
      </c>
      <c r="E993" s="3" t="s">
        <v>6</v>
      </c>
      <c r="F993" s="6">
        <v>45288</v>
      </c>
      <c r="G993" s="2">
        <v>205</v>
      </c>
      <c r="H993" s="9">
        <v>4.5</v>
      </c>
      <c r="I993">
        <f>ROUND(calls[[#This Row],[Satisfaction Rating]],0)</f>
        <v>5</v>
      </c>
      <c r="J993" t="str">
        <f>TEXT(calls[[#This Row],[Date of Call]],"DDDD")</f>
        <v>Thursday</v>
      </c>
    </row>
    <row r="994" spans="2:10" x14ac:dyDescent="0.25">
      <c r="B994" s="8" t="s">
        <v>1026</v>
      </c>
      <c r="C994" s="2" t="s">
        <v>23</v>
      </c>
      <c r="D994" s="2">
        <v>164</v>
      </c>
      <c r="E994" s="3" t="s">
        <v>6</v>
      </c>
      <c r="F994" s="6">
        <v>45289</v>
      </c>
      <c r="G994" s="2">
        <v>100</v>
      </c>
      <c r="H994" s="9">
        <v>4.5999999999999996</v>
      </c>
      <c r="I994">
        <f>ROUND(calls[[#This Row],[Satisfaction Rating]],0)</f>
        <v>5</v>
      </c>
      <c r="J994" t="str">
        <f>TEXT(calls[[#This Row],[Date of Call]],"DDDD")</f>
        <v>Friday</v>
      </c>
    </row>
    <row r="995" spans="2:10" x14ac:dyDescent="0.25">
      <c r="B995" s="8" t="s">
        <v>1027</v>
      </c>
      <c r="C995" s="2" t="s">
        <v>8</v>
      </c>
      <c r="D995" s="2">
        <v>40</v>
      </c>
      <c r="E995" s="3" t="s">
        <v>9</v>
      </c>
      <c r="F995" s="6">
        <v>45289</v>
      </c>
      <c r="G995" s="2">
        <v>111</v>
      </c>
      <c r="H995" s="9">
        <v>4.5999999999999996</v>
      </c>
      <c r="I995">
        <f>ROUND(calls[[#This Row],[Satisfaction Rating]],0)</f>
        <v>5</v>
      </c>
      <c r="J995" t="str">
        <f>TEXT(calls[[#This Row],[Date of Call]],"DDDD")</f>
        <v>Friday</v>
      </c>
    </row>
    <row r="996" spans="2:10" x14ac:dyDescent="0.25">
      <c r="B996" s="8" t="s">
        <v>1028</v>
      </c>
      <c r="C996" s="2" t="s">
        <v>21</v>
      </c>
      <c r="D996" s="2">
        <v>76</v>
      </c>
      <c r="E996" s="3" t="s">
        <v>11</v>
      </c>
      <c r="F996" s="6">
        <v>45289</v>
      </c>
      <c r="G996" s="2">
        <v>80</v>
      </c>
      <c r="H996" s="9">
        <v>3.5</v>
      </c>
      <c r="I996">
        <f>ROUND(calls[[#This Row],[Satisfaction Rating]],0)</f>
        <v>4</v>
      </c>
      <c r="J996" t="str">
        <f>TEXT(calls[[#This Row],[Date of Call]],"DDDD")</f>
        <v>Friday</v>
      </c>
    </row>
    <row r="997" spans="2:10" x14ac:dyDescent="0.25">
      <c r="B997" s="8" t="s">
        <v>1029</v>
      </c>
      <c r="C997" s="2" t="s">
        <v>7</v>
      </c>
      <c r="D997" s="2">
        <v>95</v>
      </c>
      <c r="E997" s="3" t="s">
        <v>13</v>
      </c>
      <c r="F997" s="6">
        <v>45289</v>
      </c>
      <c r="G997" s="2">
        <v>50</v>
      </c>
      <c r="H997" s="9">
        <v>2.9</v>
      </c>
      <c r="I997">
        <f>ROUND(calls[[#This Row],[Satisfaction Rating]],0)</f>
        <v>3</v>
      </c>
      <c r="J997" t="str">
        <f>TEXT(calls[[#This Row],[Date of Call]],"DDDD")</f>
        <v>Friday</v>
      </c>
    </row>
    <row r="998" spans="2:10" x14ac:dyDescent="0.25">
      <c r="B998" s="8" t="s">
        <v>1030</v>
      </c>
      <c r="C998" s="2" t="s">
        <v>21</v>
      </c>
      <c r="D998" s="2">
        <v>113</v>
      </c>
      <c r="E998" s="3" t="s">
        <v>10</v>
      </c>
      <c r="F998" s="6">
        <v>45290</v>
      </c>
      <c r="G998" s="2">
        <v>165</v>
      </c>
      <c r="H998" s="9">
        <v>4.7</v>
      </c>
      <c r="I998">
        <f>ROUND(calls[[#This Row],[Satisfaction Rating]],0)</f>
        <v>5</v>
      </c>
      <c r="J998" t="str">
        <f>TEXT(calls[[#This Row],[Date of Call]],"DDDD")</f>
        <v>Saturday</v>
      </c>
    </row>
    <row r="999" spans="2:10" x14ac:dyDescent="0.25">
      <c r="B999" s="8" t="s">
        <v>1031</v>
      </c>
      <c r="C999" s="2" t="s">
        <v>24</v>
      </c>
      <c r="D999" s="2">
        <v>81</v>
      </c>
      <c r="E999" s="3" t="s">
        <v>10</v>
      </c>
      <c r="F999" s="6">
        <v>45290</v>
      </c>
      <c r="G999" s="2">
        <v>28</v>
      </c>
      <c r="H999" s="9">
        <v>3.9</v>
      </c>
      <c r="I999">
        <f>ROUND(calls[[#This Row],[Satisfaction Rating]],0)</f>
        <v>4</v>
      </c>
      <c r="J999" t="str">
        <f>TEXT(calls[[#This Row],[Date of Call]],"DDDD")</f>
        <v>Saturday</v>
      </c>
    </row>
    <row r="1000" spans="2:10" x14ac:dyDescent="0.25">
      <c r="B1000" s="8" t="s">
        <v>1032</v>
      </c>
      <c r="C1000" s="2" t="s">
        <v>15</v>
      </c>
      <c r="D1000" s="2">
        <v>127</v>
      </c>
      <c r="E1000" s="3" t="s">
        <v>13</v>
      </c>
      <c r="F1000" s="6">
        <v>45290</v>
      </c>
      <c r="G1000" s="2">
        <v>215</v>
      </c>
      <c r="H1000" s="9">
        <v>3.8</v>
      </c>
      <c r="I1000">
        <f>ROUND(calls[[#This Row],[Satisfaction Rating]],0)</f>
        <v>4</v>
      </c>
      <c r="J1000" t="str">
        <f>TEXT(calls[[#This Row],[Date of Call]],"DDDD")</f>
        <v>Saturday</v>
      </c>
    </row>
    <row r="1001" spans="2:10" x14ac:dyDescent="0.25">
      <c r="B1001" s="8" t="s">
        <v>1033</v>
      </c>
      <c r="C1001" s="2" t="s">
        <v>14</v>
      </c>
      <c r="D1001" s="2">
        <v>146</v>
      </c>
      <c r="E1001" s="3" t="s">
        <v>10</v>
      </c>
      <c r="F1001" s="6">
        <v>45291</v>
      </c>
      <c r="G1001" s="2">
        <v>115</v>
      </c>
      <c r="H1001" s="9">
        <v>2.2999999999999998</v>
      </c>
      <c r="I1001">
        <f>ROUND(calls[[#This Row],[Satisfaction Rating]],0)</f>
        <v>2</v>
      </c>
      <c r="J1001" t="str">
        <f>TEXT(calls[[#This Row],[Date of Call]],"DDDD")</f>
        <v>Sunday</v>
      </c>
    </row>
    <row r="1002" spans="2:10" x14ac:dyDescent="0.25">
      <c r="B1002" s="8" t="s">
        <v>1034</v>
      </c>
      <c r="C1002" s="2" t="s">
        <v>18</v>
      </c>
      <c r="D1002" s="2">
        <v>123</v>
      </c>
      <c r="E1002" s="3" t="s">
        <v>10</v>
      </c>
      <c r="F1002" s="6">
        <v>45291</v>
      </c>
      <c r="G1002" s="2">
        <v>64</v>
      </c>
      <c r="H1002" s="9">
        <v>3.7</v>
      </c>
      <c r="I1002">
        <f>ROUND(calls[[#This Row],[Satisfaction Rating]],0)</f>
        <v>4</v>
      </c>
      <c r="J1002" t="str">
        <f>TEXT(calls[[#This Row],[Date of Call]],"DDDD")</f>
        <v>Sunday</v>
      </c>
    </row>
    <row r="1003" spans="2:10" x14ac:dyDescent="0.25">
      <c r="B1003" s="15" t="s">
        <v>1035</v>
      </c>
      <c r="C1003" s="16" t="s">
        <v>22</v>
      </c>
      <c r="D1003" s="16">
        <v>114</v>
      </c>
      <c r="E1003" s="17" t="s">
        <v>11</v>
      </c>
      <c r="F1003" s="18">
        <v>45291</v>
      </c>
      <c r="G1003" s="16">
        <v>40</v>
      </c>
      <c r="H1003" s="19">
        <v>3.9</v>
      </c>
      <c r="I1003">
        <f>ROUND(calls[[#This Row],[Satisfaction Rating]],0)</f>
        <v>4</v>
      </c>
      <c r="J1003" t="str">
        <f>TEXT(calls[[#This Row],[Date of Call]],"DDDD")</f>
        <v>Sunday</v>
      </c>
    </row>
  </sheetData>
  <phoneticPr fontId="2" type="noConversion"/>
  <pageMargins left="0.7" right="0.7" top="0.75" bottom="0.75" header="0.3" footer="0.3"/>
  <drawing r:id="rId1"/>
  <tableParts count="2">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Sheet4</vt:lpstr>
      <vt:lpstr>Sheet5</vt:lpstr>
      <vt:lpstr>Sheet7</vt:lpstr>
      <vt:lpstr>pivot tabel</vt:lpstr>
      <vt:lpstr>Reports</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LAVANYA VANAPALLI</cp:lastModifiedBy>
  <dcterms:created xsi:type="dcterms:W3CDTF">2021-03-14T20:21:32Z</dcterms:created>
  <dcterms:modified xsi:type="dcterms:W3CDTF">2026-07-05T14:21:31Z</dcterms:modified>
</cp:coreProperties>
</file>